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hipment Plan" sheetId="1" state="visible" r:id="rId3"/>
    <sheet name="FC Summary" sheetId="2" state="visible" r:id="rId4"/>
    <sheet name="FC Capacity" sheetId="3" state="visible" r:id="rId5"/>
    <sheet name="ASIN Summary" sheetId="4" state="visible" r:id="rId6"/>
    <sheet name="ASIN x FC Matrix" sheetId="5" state="visible" r:id="rId7"/>
    <sheet name="Regional Demand" sheetId="6" state="visible" r:id="rId8"/>
    <sheet name="Inbound Shipments" sheetId="7" state="visible" r:id="rId9"/>
    <sheet name="Method &amp; Assumptions" sheetId="8" state="visible" r:id="rId10"/>
  </sheets>
  <definedNames>
    <definedName function="false" hidden="true" localSheetId="3" name="_xlnm._FilterDatabase" vbProcedure="false">'ASIN Summary'!$A$2:$V$243</definedName>
    <definedName function="false" hidden="true" localSheetId="4" name="_xlnm._FilterDatabase" vbProcedure="false">'ASIN x FC Matrix'!$A$2:$AA$109</definedName>
    <definedName function="false" hidden="true" localSheetId="1" name="_xlnm._FilterDatabase" vbProcedure="false">'FC Summary'!$A$2:$P$25</definedName>
    <definedName function="false" hidden="true" localSheetId="6" name="_xlnm._FilterDatabase" vbProcedure="false">'Inbound Shipments'!$A$2:$M$76</definedName>
    <definedName function="false" hidden="true" localSheetId="0" name="_xlnm._FilterDatabase" vbProcedure="false">'Shipment Plan'!$A$2:$K$565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<sst xmlns="http://schemas.openxmlformats.org/spreadsheetml/2006/main" count="6763" uniqueCount="1512">
  <si>
    <t xml:space="preserve">TOTAL</t>
  </si>
  <si>
    <t xml:space="preserve">ASIN</t>
  </si>
  <si>
    <t xml:space="preserve">Product</t>
  </si>
  <si>
    <t xml:space="preserve">MSKU</t>
  </si>
  <si>
    <t xml:space="preserve">Ship to</t>
  </si>
  <si>
    <t xml:space="preserve">Line type</t>
  </si>
  <si>
    <t xml:space="preserve">FC units sold</t>
  </si>
  <si>
    <t xml:space="preserve">Current FC stock</t>
  </si>
  <si>
    <t xml:space="preserve">45-day target</t>
  </si>
  <si>
    <t xml:space="preserve">SHIP QTY</t>
  </si>
  <si>
    <t xml:space="preserve">Stock after</t>
  </si>
  <si>
    <t xml:space="preserve">Cover after (days)</t>
  </si>
  <si>
    <t xml:space="preserve">B0B6JD4XT2</t>
  </si>
  <si>
    <t xml:space="preserve">TMPE Lemon Diffuser Oil 1L</t>
  </si>
  <si>
    <t xml:space="preserve">Lemondiffuseroil-1litter</t>
  </si>
  <si>
    <t xml:space="preserve">DED3</t>
  </si>
  <si>
    <t xml:space="preserve">IXD overflow</t>
  </si>
  <si>
    <t xml:space="preserve">n/a</t>
  </si>
  <si>
    <t xml:space="preserve">LDX1</t>
  </si>
  <si>
    <t xml:space="preserve">FC</t>
  </si>
  <si>
    <t xml:space="preserve">B0C469NNVR</t>
  </si>
  <si>
    <t xml:space="preserve">TMPE Peppermint Diffuser Oil 30ml</t>
  </si>
  <si>
    <t xml:space="preserve">Peppermintdiffuseroil-30ML</t>
  </si>
  <si>
    <t xml:space="preserve">B0C9MKT8N6</t>
  </si>
  <si>
    <t xml:space="preserve">TMPE Cuticle Remover Gel 200ml</t>
  </si>
  <si>
    <t xml:space="preserve">cuticleremoverwithstick</t>
  </si>
  <si>
    <t xml:space="preserve">B0CL6HTRDT</t>
  </si>
  <si>
    <t xml:space="preserve">CUTIKLES Cuticle Remover Gel 30ml</t>
  </si>
  <si>
    <t xml:space="preserve">CU-CRALMOND30ML-1</t>
  </si>
  <si>
    <t xml:space="preserve">ATX1</t>
  </si>
  <si>
    <t xml:space="preserve">BLR8</t>
  </si>
  <si>
    <t xml:space="preserve">BOM7</t>
  </si>
  <si>
    <t xml:space="preserve">DED4</t>
  </si>
  <si>
    <t xml:space="preserve">DED5</t>
  </si>
  <si>
    <t xml:space="preserve">DEX3</t>
  </si>
  <si>
    <t xml:space="preserve">HYD3</t>
  </si>
  <si>
    <t xml:space="preserve">B0CVQ6P8LB</t>
  </si>
  <si>
    <t xml:space="preserve">AROMATICO Lavender Diffuser Oil 30ml</t>
  </si>
  <si>
    <t xml:space="preserve">40554</t>
  </si>
  <si>
    <t xml:space="preserve">LKO1</t>
  </si>
  <si>
    <t xml:space="preserve">NAX1</t>
  </si>
  <si>
    <t xml:space="preserve">B0CVQ8BZX5</t>
  </si>
  <si>
    <t xml:space="preserve">AROMATICO Jasmine Diffuser Oil 30ml</t>
  </si>
  <si>
    <t xml:space="preserve">40530</t>
  </si>
  <si>
    <t xml:space="preserve">B0CVQBBB7P</t>
  </si>
  <si>
    <t xml:space="preserve">AROMATICO Tea Tree Diffuser Oil 1L</t>
  </si>
  <si>
    <t xml:space="preserve">40929</t>
  </si>
  <si>
    <t xml:space="preserve">B0CVQBPSG4</t>
  </si>
  <si>
    <t xml:space="preserve">AROMATICO Eucalyptus Diffuser Oil 30ml</t>
  </si>
  <si>
    <t xml:space="preserve">40516</t>
  </si>
  <si>
    <t xml:space="preserve">B0CVQG1TXB</t>
  </si>
  <si>
    <t xml:space="preserve">AROMATICO Lemongrass Diffuser Oil 30ml</t>
  </si>
  <si>
    <t xml:space="preserve">40578</t>
  </si>
  <si>
    <t xml:space="preserve">GAX1</t>
  </si>
  <si>
    <t xml:space="preserve">B0CVQHJ4HY</t>
  </si>
  <si>
    <t xml:space="preserve">AROMATICO Lemon Diffuser Oil 30ml</t>
  </si>
  <si>
    <t xml:space="preserve">40561</t>
  </si>
  <si>
    <t xml:space="preserve">B0CVQKBXBT</t>
  </si>
  <si>
    <t xml:space="preserve">AROMATICO Lavender Diffuser Oil 500ml</t>
  </si>
  <si>
    <t xml:space="preserve">40691</t>
  </si>
  <si>
    <t xml:space="preserve">B0CVQL2SF9</t>
  </si>
  <si>
    <t xml:space="preserve">AROMATICO Sandalwood Diffuser Oil 30ml</t>
  </si>
  <si>
    <t xml:space="preserve">40639</t>
  </si>
  <si>
    <t xml:space="preserve">B0CVTPVD17</t>
  </si>
  <si>
    <t xml:space="preserve">TMPE Nail Growth Serum 30ml</t>
  </si>
  <si>
    <t xml:space="preserve">41957</t>
  </si>
  <si>
    <t xml:space="preserve">DEL5</t>
  </si>
  <si>
    <t xml:space="preserve">B0CW6PDXJB</t>
  </si>
  <si>
    <t xml:space="preserve">CUTIKLES Anti-Fungal Nail Repair Serum 30ml Pack of 2</t>
  </si>
  <si>
    <t xml:space="preserve">Nail Repair-2</t>
  </si>
  <si>
    <t xml:space="preserve">MAA4</t>
  </si>
  <si>
    <t xml:space="preserve">B0D4QRCB9T</t>
  </si>
  <si>
    <t xml:space="preserve">AROMATICO Lavender Mint Massage Oil 300ml</t>
  </si>
  <si>
    <t xml:space="preserve">842121</t>
  </si>
  <si>
    <t xml:space="preserve">BLR7</t>
  </si>
  <si>
    <t xml:space="preserve">CCX1</t>
  </si>
  <si>
    <t xml:space="preserve">CJB1</t>
  </si>
  <si>
    <t xml:space="preserve">DEL4</t>
  </si>
  <si>
    <t xml:space="preserve">JPX2</t>
  </si>
  <si>
    <t xml:space="preserve">B0D4QRSWSY</t>
  </si>
  <si>
    <t xml:space="preserve">AROMATICO Lemongrass Cinnamon Warm Massage Oil 300ml</t>
  </si>
  <si>
    <t xml:space="preserve">842152</t>
  </si>
  <si>
    <t xml:space="preserve">AMD2</t>
  </si>
  <si>
    <t xml:space="preserve">B0D4QRZCQ7</t>
  </si>
  <si>
    <t xml:space="preserve">AROMATICO Jasmine Orange Massage Oil 300ml</t>
  </si>
  <si>
    <t xml:space="preserve">842138</t>
  </si>
  <si>
    <t xml:space="preserve">B0D4QSWG2C</t>
  </si>
  <si>
    <t xml:space="preserve">AROMATICO Almond Massage Oil 300ml</t>
  </si>
  <si>
    <t xml:space="preserve">842114</t>
  </si>
  <si>
    <t xml:space="preserve">B0D6W3PL1Y</t>
  </si>
  <si>
    <t xml:space="preserve">TMPE Ayurvedic Massage Oil 300ml</t>
  </si>
  <si>
    <t xml:space="preserve">842176</t>
  </si>
  <si>
    <t xml:space="preserve">B0D6WLS9R9</t>
  </si>
  <si>
    <t xml:space="preserve">AROMATICO Onion Hair Oil 200ml</t>
  </si>
  <si>
    <t xml:space="preserve">Aro-Onion-oil-200ml</t>
  </si>
  <si>
    <t xml:space="preserve">B0D7Q3TQFT</t>
  </si>
  <si>
    <t xml:space="preserve">AROMATICO Rosemary Hair Oil 200ml</t>
  </si>
  <si>
    <t xml:space="preserve">Aro-Rosemary-oil-200ml</t>
  </si>
  <si>
    <t xml:space="preserve">B0D7Q52TS9</t>
  </si>
  <si>
    <t xml:space="preserve">AROMATICO Tea Tree Hair Oil 200ml</t>
  </si>
  <si>
    <t xml:space="preserve">Aro-Teatree-oil-200ml</t>
  </si>
  <si>
    <t xml:space="preserve">B0D8122KXY</t>
  </si>
  <si>
    <t xml:space="preserve">TMPE Anti Cellulite Shape-Up Slimming Massage Oil 300ml</t>
  </si>
  <si>
    <t xml:space="preserve">842190</t>
  </si>
  <si>
    <t xml:space="preserve">B0DCNYR9QF</t>
  </si>
  <si>
    <t xml:space="preserve">TMPE Lavender Manicure &amp; Pedicure Salt 500gm</t>
  </si>
  <si>
    <t xml:space="preserve">842299</t>
  </si>
  <si>
    <t xml:space="preserve">B0DCNZM488</t>
  </si>
  <si>
    <t xml:space="preserve">TMPE Rose Manicure &amp; Pedicure Salt 500gm</t>
  </si>
  <si>
    <t xml:space="preserve">842282</t>
  </si>
  <si>
    <t xml:space="preserve">B0DDHRBSKL</t>
  </si>
  <si>
    <t xml:space="preserve">CUTIKLES Cuticle Remover Gel 200ml</t>
  </si>
  <si>
    <t xml:space="preserve">842411</t>
  </si>
  <si>
    <t xml:space="preserve">B0DDY1JDT4</t>
  </si>
  <si>
    <t xml:space="preserve">AROMATICO Sesame Seed Oil 200ml</t>
  </si>
  <si>
    <t xml:space="preserve">Sesame_842367</t>
  </si>
  <si>
    <t xml:space="preserve">B0DDY3FX2Q</t>
  </si>
  <si>
    <t xml:space="preserve">AROMATICO Argan Oil 200ml</t>
  </si>
  <si>
    <t xml:space="preserve">Argan_842305</t>
  </si>
  <si>
    <t xml:space="preserve">B0DGKXCVRY</t>
  </si>
  <si>
    <t xml:space="preserve">AROMATICO Jasmine Orange Massage Oil 300ml Pack of 2</t>
  </si>
  <si>
    <t xml:space="preserve">Jasmine Orange-Pack2</t>
  </si>
  <si>
    <t xml:space="preserve">B0DGLBW634</t>
  </si>
  <si>
    <t xml:space="preserve">AROMATICO Honey &amp; Almond Body Oil 200ml</t>
  </si>
  <si>
    <t xml:space="preserve">842374</t>
  </si>
  <si>
    <t xml:space="preserve">B0DGLBX9HM</t>
  </si>
  <si>
    <t xml:space="preserve">AROMATICO Citrus Fresh Body Oil 200ml</t>
  </si>
  <si>
    <t xml:space="preserve">842381</t>
  </si>
  <si>
    <t xml:space="preserve">B0DPMVSDQ5</t>
  </si>
  <si>
    <t xml:space="preserve">AROMATICO Rose &amp; Sandalwood Massage Oil 300ml</t>
  </si>
  <si>
    <t xml:space="preserve">842954</t>
  </si>
  <si>
    <t xml:space="preserve">B0DRFNSY6W</t>
  </si>
  <si>
    <t xml:space="preserve">AROMATICO Ayurvedic Herbal Massage Potli 200gm</t>
  </si>
  <si>
    <t xml:space="preserve">843005</t>
  </si>
  <si>
    <t xml:space="preserve">B0DRGDXMG4</t>
  </si>
  <si>
    <t xml:space="preserve">INTIAID Yoni Oil 30ml</t>
  </si>
  <si>
    <t xml:space="preserve">842992</t>
  </si>
  <si>
    <t xml:space="preserve">B0DYP67V3V</t>
  </si>
  <si>
    <t xml:space="preserve">AROMATICO Potli Massage Muscle Comfort Kit 300ml + 200gm</t>
  </si>
  <si>
    <t xml:space="preserve">Aromatico_Kit</t>
  </si>
  <si>
    <t xml:space="preserve">B0F4XK6CTP</t>
  </si>
  <si>
    <t xml:space="preserve">INTIAID Couples Massage Oil 200ml</t>
  </si>
  <si>
    <t xml:space="preserve">INTIAID-COUPLE_MASSAGE-OIL200ml</t>
  </si>
  <si>
    <t xml:space="preserve">B0FF495L9M</t>
  </si>
  <si>
    <t xml:space="preserve">AROMATICO Rose Sandalwood &amp; Jasmine Orange Massage Oil 300ml</t>
  </si>
  <si>
    <t xml:space="preserve">Rose Sandalwood &amp; Jasmine Orange</t>
  </si>
  <si>
    <t xml:space="preserve">B0FF49TFZ8</t>
  </si>
  <si>
    <t xml:space="preserve">AROMATICO Rose Sandalwood Massage Oil 300ml Pack of 2</t>
  </si>
  <si>
    <t xml:space="preserve">Aroma+Rose+Sandalwood+Massage+Oil_FBA</t>
  </si>
  <si>
    <t xml:space="preserve">B0FFGP2HBN</t>
  </si>
  <si>
    <t xml:space="preserve">AROMATICO Muscle Comfort Deep Tissue Massage Oil 300ml</t>
  </si>
  <si>
    <t xml:space="preserve">Aroma-Muscle Comfort Massage Oil 300ml</t>
  </si>
  <si>
    <t xml:space="preserve">B0FHBH57NS</t>
  </si>
  <si>
    <t xml:space="preserve">TMPE Ayurvedic Herbal Massage Potli Pack of 2</t>
  </si>
  <si>
    <t xml:space="preserve">QE-CZI6-4SM9</t>
  </si>
  <si>
    <t xml:space="preserve">B0FHHMPS2F</t>
  </si>
  <si>
    <t xml:space="preserve">INTIAID Couple &amp; Intimate Massage Oil 200ml Pack of 2</t>
  </si>
  <si>
    <t xml:space="preserve">INTIAID Couple &amp; intimate MSG oil-Combo</t>
  </si>
  <si>
    <t xml:space="preserve">B0FKZ7XJFC</t>
  </si>
  <si>
    <t xml:space="preserve">AROMATICO Rosemary Hair Oil 100ml</t>
  </si>
  <si>
    <t xml:space="preserve">9E-IK05-PWYX</t>
  </si>
  <si>
    <t xml:space="preserve">B0FL2D1463</t>
  </si>
  <si>
    <t xml:space="preserve">AROMATICO Castor Oil 100ml</t>
  </si>
  <si>
    <t xml:space="preserve">N5-LGJU-YCOP</t>
  </si>
  <si>
    <t xml:space="preserve">B0FLK8C4NX</t>
  </si>
  <si>
    <t xml:space="preserve">INTIAID Intimate Massage Oil 200ml Pack of 2</t>
  </si>
  <si>
    <t xml:space="preserve">intiaid-intimate Oil- Pack of 2</t>
  </si>
  <si>
    <t xml:space="preserve">B0FNRR7ZDM</t>
  </si>
  <si>
    <t xml:space="preserve">AROMATICO Sandalwood Diffuser Oil 250ml</t>
  </si>
  <si>
    <t xml:space="preserve">S1-KOMT-E58P</t>
  </si>
  <si>
    <t xml:space="preserve">B0FNX275WY</t>
  </si>
  <si>
    <t xml:space="preserve">AROMATICO Sweet Almond Oil 200ml</t>
  </si>
  <si>
    <t xml:space="preserve">KQ-WHQL-H8KE</t>
  </si>
  <si>
    <t xml:space="preserve">B0FNX3X6FM</t>
  </si>
  <si>
    <t xml:space="preserve">AROMATICO MCT Fractionated Coconut Oil 200ml</t>
  </si>
  <si>
    <t xml:space="preserve">Aromatico-Fractionated Coconut oil-200ml</t>
  </si>
  <si>
    <t xml:space="preserve">B0FNX6FHDK</t>
  </si>
  <si>
    <t xml:space="preserve">AROMATICO Sweet Almond Oil 100ml</t>
  </si>
  <si>
    <t xml:space="preserve">Aromatico -Sweet Almond Oil 100ml</t>
  </si>
  <si>
    <t xml:space="preserve">B0FNY1MB6N</t>
  </si>
  <si>
    <t xml:space="preserve">AROMATICO Jojoba Oil 200ml</t>
  </si>
  <si>
    <t xml:space="preserve">Aromatico-JOJOBA Oil-200ml</t>
  </si>
  <si>
    <t xml:space="preserve">BOM5</t>
  </si>
  <si>
    <t xml:space="preserve">B0FP2CX2HL</t>
  </si>
  <si>
    <t xml:space="preserve">AROMATICO Eucalyptus Reed Diffuser Oil Refill 100ml</t>
  </si>
  <si>
    <t xml:space="preserve">ZT-EXMU-Z30H</t>
  </si>
  <si>
    <t xml:space="preserve">B0FS73JH6N</t>
  </si>
  <si>
    <t xml:space="preserve">AROMATICO Lemongrass Reed Diffuser Oil Refill 100ml</t>
  </si>
  <si>
    <t xml:space="preserve">2H-0LXH-DL9E</t>
  </si>
  <si>
    <t xml:space="preserve">B0FT3QK22X</t>
  </si>
  <si>
    <t xml:space="preserve">AROMATICO Jasmine Reed Diffuser Oil Refill 100ml</t>
  </si>
  <si>
    <t xml:space="preserve">27-MDVA-2AF1</t>
  </si>
  <si>
    <t xml:space="preserve">B0GNYVC35Q</t>
  </si>
  <si>
    <t xml:space="preserve">AROMATICO Kumkumadi Face Oil 200ml</t>
  </si>
  <si>
    <t xml:space="preserve">YY-1Y8D-UNER</t>
  </si>
  <si>
    <t xml:space="preserve">B0GNZ3NM6X</t>
  </si>
  <si>
    <t xml:space="preserve">AROMATICO Lavender Mint Massage Oil 1L</t>
  </si>
  <si>
    <t xml:space="preserve">Lavender Mint-MSG Oil-1 Ltr</t>
  </si>
  <si>
    <t xml:space="preserve">B0GNZVJ7V9</t>
  </si>
  <si>
    <t xml:space="preserve">AROMATICO Muscle Comfort Massage Oil 1L</t>
  </si>
  <si>
    <t xml:space="preserve">Muscle-Comfort-MSG-Oil-1Ltr</t>
  </si>
  <si>
    <t xml:space="preserve">B0GX7PYSXV</t>
  </si>
  <si>
    <t xml:space="preserve">AROMATICO Eucalyptus Mint Massage Oil 300ml</t>
  </si>
  <si>
    <t xml:space="preserve">Aromatico_E&amp;mint_300 Ml</t>
  </si>
  <si>
    <t xml:space="preserve">B0GY4XMMVG</t>
  </si>
  <si>
    <t xml:space="preserve">AROMATICO Virgin Coconut Oil 100ml</t>
  </si>
  <si>
    <t xml:space="preserve">A-Virgin-Coconut-oil-100ml</t>
  </si>
  <si>
    <t xml:space="preserve">B0GY8Y1DZT</t>
  </si>
  <si>
    <t xml:space="preserve">AROMATICO Grapeseed Oil 200ml</t>
  </si>
  <si>
    <t xml:space="preserve">A-Grapeseed-oil-200ml</t>
  </si>
  <si>
    <t xml:space="preserve">B0GY91RB1M</t>
  </si>
  <si>
    <t xml:space="preserve">AROMATICO Avocado Oil 200ml</t>
  </si>
  <si>
    <t xml:space="preserve">A-Avocado-oil-200ml</t>
  </si>
  <si>
    <t xml:space="preserve">B0GY927BFG</t>
  </si>
  <si>
    <t xml:space="preserve">AROMATICO Virgin Coconut Oil 200ml</t>
  </si>
  <si>
    <t xml:space="preserve">A-Virgin-Coconut-oil-200ml</t>
  </si>
  <si>
    <t xml:space="preserve">B0GY94GPZT</t>
  </si>
  <si>
    <t xml:space="preserve">AROMATICO Kalonji Oil 200ml</t>
  </si>
  <si>
    <t xml:space="preserve">A-Kalonji-oil-200ml</t>
  </si>
  <si>
    <t xml:space="preserve">B0GY9CLDH4</t>
  </si>
  <si>
    <t xml:space="preserve">AROMATICO Neem Oil 200ml</t>
  </si>
  <si>
    <t xml:space="preserve">A-Neem-oil-200ml</t>
  </si>
  <si>
    <t xml:space="preserve">B0GYF4TZMN</t>
  </si>
  <si>
    <t xml:space="preserve">AROMATICO Pumpkin Oil 200ml</t>
  </si>
  <si>
    <t xml:space="preserve">A-Pumpkin-oil-200ml</t>
  </si>
  <si>
    <t xml:space="preserve">B0GYF8W62B</t>
  </si>
  <si>
    <t xml:space="preserve">AROMATICO Apricot Kernel Oil 200ml</t>
  </si>
  <si>
    <t xml:space="preserve">A-Apricot-oil-200ml</t>
  </si>
  <si>
    <t xml:space="preserve">B0GZNJSS59</t>
  </si>
  <si>
    <t xml:space="preserve">AROMATICO Rosehip Oil 100ml</t>
  </si>
  <si>
    <t xml:space="preserve">A-Rosehip-100ml</t>
  </si>
  <si>
    <t xml:space="preserve">B0GZP5QBHQ</t>
  </si>
  <si>
    <t xml:space="preserve">AROMATICO Peppermint Massage Oil 300ml</t>
  </si>
  <si>
    <t xml:space="preserve">A-Peppermint-Massage-300ml</t>
  </si>
  <si>
    <t xml:space="preserve">B0GZP693DV</t>
  </si>
  <si>
    <t xml:space="preserve">AROMATICO Pumpkin Seed Oil 100ml</t>
  </si>
  <si>
    <t xml:space="preserve">A-Pumpkin-Oil-100ml</t>
  </si>
  <si>
    <t xml:space="preserve">B0GZP7ZHLZ</t>
  </si>
  <si>
    <t xml:space="preserve">AROMATICO Kalonji Oil 100ml</t>
  </si>
  <si>
    <t xml:space="preserve">A-Kalonji-oil-100ml</t>
  </si>
  <si>
    <t xml:space="preserve">B0GZP9522Z</t>
  </si>
  <si>
    <t xml:space="preserve">AROMATICO Grapeseed Oil 100ml</t>
  </si>
  <si>
    <t xml:space="preserve">A-Grapeseed-oil-100ml</t>
  </si>
  <si>
    <t xml:space="preserve">B0GZPH2PLV</t>
  </si>
  <si>
    <t xml:space="preserve">AROMATICO Jojoba Massage Oil 300ml</t>
  </si>
  <si>
    <t xml:space="preserve">A-Jojoba-Massage-300ml</t>
  </si>
  <si>
    <t xml:space="preserve">B0GZPLMVKK</t>
  </si>
  <si>
    <t xml:space="preserve">AROMATICO Lavender Massage Oil 300ml</t>
  </si>
  <si>
    <t xml:space="preserve">A-Lavender-Massage-300ml</t>
  </si>
  <si>
    <t xml:space="preserve">B0GZPXY44G</t>
  </si>
  <si>
    <t xml:space="preserve">AROMATICO Anti Cellulite Massage Oil 300ml</t>
  </si>
  <si>
    <t xml:space="preserve">A-Anti-Cellulite-Massage-300ml</t>
  </si>
  <si>
    <t xml:space="preserve">B0GZQ199ZY</t>
  </si>
  <si>
    <t xml:space="preserve">AROMATICO Ayurvedic Massage Oil 300ml</t>
  </si>
  <si>
    <t xml:space="preserve">A-Ayurvedic-Massage-300ml</t>
  </si>
  <si>
    <t xml:space="preserve">B0GZQBY1PF</t>
  </si>
  <si>
    <t xml:space="preserve">AYURVIDA Kumkumadi Face Oil 60ml</t>
  </si>
  <si>
    <t xml:space="preserve">Ayur-Kumkumadi-60ml</t>
  </si>
  <si>
    <t xml:space="preserve">B0H128Q1TY</t>
  </si>
  <si>
    <t xml:space="preserve">AROMATICO Olive Oil 100ml</t>
  </si>
  <si>
    <t xml:space="preserve">A-Oilve-Oil-100ml</t>
  </si>
  <si>
    <t xml:space="preserve">B0H25LTR18</t>
  </si>
  <si>
    <t xml:space="preserve">TMPE Vitamin E Massage Oil 300ml</t>
  </si>
  <si>
    <t xml:space="preserve">TMPE-VitaminE-Massage-300ml</t>
  </si>
  <si>
    <t xml:space="preserve">B0H25P52R1</t>
  </si>
  <si>
    <t xml:space="preserve">AROMATICO Vitamin E Massage Oil 300ml</t>
  </si>
  <si>
    <t xml:space="preserve">A-VitaminE-Massage-300ml</t>
  </si>
  <si>
    <t xml:space="preserve">B0H25W9LMH</t>
  </si>
  <si>
    <t xml:space="preserve">TMPE Vitamin E Oil 30ml</t>
  </si>
  <si>
    <t xml:space="preserve">TMPE-VitaminE-oil-30ml</t>
  </si>
  <si>
    <t xml:space="preserve">B0H26FP88Z</t>
  </si>
  <si>
    <t xml:space="preserve">AYURVIDA Ayurvedic Massage Oil 300ml</t>
  </si>
  <si>
    <t xml:space="preserve">Ayur-Ayurvedic-Massage-300ml</t>
  </si>
  <si>
    <t xml:space="preserve">B0H28NV9MK</t>
  </si>
  <si>
    <t xml:space="preserve">AYURVIDA Stress Relief Aromatherapy Massage Oil 300ml</t>
  </si>
  <si>
    <t xml:space="preserve">Ayur-Stress-Relief-Massage-300ml</t>
  </si>
  <si>
    <t xml:space="preserve">B0H295LSG6</t>
  </si>
  <si>
    <t xml:space="preserve">AYURVIDA Vitamin E Body Massage Oil 300ml</t>
  </si>
  <si>
    <t xml:space="preserve">Ayur-VitaminE-Massage-oil-300ml</t>
  </si>
  <si>
    <t xml:space="preserve">B0H296DQDN</t>
  </si>
  <si>
    <t xml:space="preserve">AYURVIDA Vitamin E Face Oil 60ml</t>
  </si>
  <si>
    <t xml:space="preserve">Ayur-vitamin-E-faceoil-60ml</t>
  </si>
  <si>
    <t xml:space="preserve">B0H29KTT9C</t>
  </si>
  <si>
    <t xml:space="preserve">CIRCADIAN CARE Deep Rest Aromatherapy Massage Oil 300ml</t>
  </si>
  <si>
    <t xml:space="preserve">CC-DeepRest-Massage-300ml</t>
  </si>
  <si>
    <t xml:space="preserve">B0H41TXTG6</t>
  </si>
  <si>
    <t xml:space="preserve">AROMATICO Camphor Diffuser Oil 1L</t>
  </si>
  <si>
    <t xml:space="preserve">A-Camphor-Diffuser-1Ltr</t>
  </si>
  <si>
    <t xml:space="preserve">B0H4219D3J</t>
  </si>
  <si>
    <t xml:space="preserve">AROMATICO Camphor Diffuser Oil 250ml</t>
  </si>
  <si>
    <t xml:space="preserve">A-Camphor-Diffuser-250ml</t>
  </si>
  <si>
    <t xml:space="preserve">B0H425QPMT</t>
  </si>
  <si>
    <t xml:space="preserve">TMPE Coconut Massage Oil 300ml</t>
  </si>
  <si>
    <t xml:space="preserve">tmpe-Coconut-massage-oil-300ml</t>
  </si>
  <si>
    <t xml:space="preserve">B0H45L1B66</t>
  </si>
  <si>
    <t xml:space="preserve">AROMATICO Rice Bran Oil 1L</t>
  </si>
  <si>
    <t xml:space="preserve">Aro-Ricebran-oil-946ml</t>
  </si>
  <si>
    <t xml:space="preserve">B0H45M6N13</t>
  </si>
  <si>
    <t xml:space="preserve">AROMATICO Olive Oil 1L</t>
  </si>
  <si>
    <t xml:space="preserve">Aro-Olive-oil-946ml</t>
  </si>
  <si>
    <t xml:space="preserve">B0H45NS5NP</t>
  </si>
  <si>
    <t xml:space="preserve">AROMATICO Pumpkin Oil 1L</t>
  </si>
  <si>
    <t xml:space="preserve">Aro-Pumpkin-oil-946ml</t>
  </si>
  <si>
    <t xml:space="preserve">B0H45P7488</t>
  </si>
  <si>
    <t xml:space="preserve">AROMATICO Moroccan Argan Oil 1L</t>
  </si>
  <si>
    <t xml:space="preserve">Aro-Argan-oil-946ml</t>
  </si>
  <si>
    <t xml:space="preserve">B0H45PMY78</t>
  </si>
  <si>
    <t xml:space="preserve">AROMATICO Kalonji Blackseed Oil 1L</t>
  </si>
  <si>
    <t xml:space="preserve">Aro-Kalonji-oil-946ml</t>
  </si>
  <si>
    <t xml:space="preserve">B0H45QCG85</t>
  </si>
  <si>
    <t xml:space="preserve">AROMATICO Avocado Oil 1L</t>
  </si>
  <si>
    <t xml:space="preserve">Aro-Avocado-oil-946ml</t>
  </si>
  <si>
    <t xml:space="preserve">B0H492RQJ4</t>
  </si>
  <si>
    <t xml:space="preserve">AROMATICO Moringa Oil 200ml</t>
  </si>
  <si>
    <t xml:space="preserve">Aro-Moringa-oil-200ml</t>
  </si>
  <si>
    <t xml:space="preserve">B0H4982CSW</t>
  </si>
  <si>
    <t xml:space="preserve">AROMATICO Moringa Oil 100ml</t>
  </si>
  <si>
    <t xml:space="preserve">Aro-Moringa-oil-100ml</t>
  </si>
  <si>
    <t xml:space="preserve">B0H49L7RSQ</t>
  </si>
  <si>
    <t xml:space="preserve">AROMATICO Coconut Massage Oil 300ml</t>
  </si>
  <si>
    <t xml:space="preserve">Aro-Coconut-Massage-300ml</t>
  </si>
  <si>
    <t xml:space="preserve">B0HDP2B6VR</t>
  </si>
  <si>
    <t xml:space="preserve">AROMATICO Vitamin E Massage Oil 1L</t>
  </si>
  <si>
    <t xml:space="preserve">A-VitaminE-Massage-1Ltr</t>
  </si>
  <si>
    <t xml:space="preserve">B0HF51THS5</t>
  </si>
  <si>
    <t xml:space="preserve">TMPE Moringa Oil 30ml</t>
  </si>
  <si>
    <t xml:space="preserve">TMPE-Moringa-30ml</t>
  </si>
  <si>
    <t xml:space="preserve">B0HH8W9V6S</t>
  </si>
  <si>
    <t xml:space="preserve">AROMATICO Lavender Massage Oil 1L</t>
  </si>
  <si>
    <t xml:space="preserve">A-Lavender-Msg-1Ltr</t>
  </si>
  <si>
    <t xml:space="preserve">B0HJ5N4YWM</t>
  </si>
  <si>
    <t xml:space="preserve">AROMATICO Flaxseed Oil 100ml</t>
  </si>
  <si>
    <t xml:space="preserve">A-Flaxseedoil-100ml</t>
  </si>
  <si>
    <t xml:space="preserve">B0HJ5Q88DG</t>
  </si>
  <si>
    <t xml:space="preserve">AROMATICO Frankincense Oil 200ml</t>
  </si>
  <si>
    <t xml:space="preserve">A-Frankincense-oil-200ml</t>
  </si>
  <si>
    <t xml:space="preserve">B0HJ5Q9RBB</t>
  </si>
  <si>
    <t xml:space="preserve">AROMATICO Batana Oil 100ml</t>
  </si>
  <si>
    <t xml:space="preserve">A-Batanaoil-100ml</t>
  </si>
  <si>
    <t xml:space="preserve">B0HJ5SDDFQ</t>
  </si>
  <si>
    <t xml:space="preserve">AROMATICO Frankincense Oil 100ml</t>
  </si>
  <si>
    <t xml:space="preserve">A-Frankincense-oil-100ml</t>
  </si>
  <si>
    <t xml:space="preserve">B0HJ5T1LJQ</t>
  </si>
  <si>
    <t xml:space="preserve">AROMATICO Chamomile Massage Oil 1L</t>
  </si>
  <si>
    <t xml:space="preserve">A-Chamomile-Msg-1Ltr</t>
  </si>
  <si>
    <t xml:space="preserve">B0HJ5Y9VT1</t>
  </si>
  <si>
    <t xml:space="preserve">AROMATICO Sandalwood Massage Oil 300ml</t>
  </si>
  <si>
    <t xml:space="preserve">A-Sandalwood-Msg-300ml</t>
  </si>
  <si>
    <t xml:space="preserve">B0HJ62LCNT</t>
  </si>
  <si>
    <t xml:space="preserve">AROMATICO Jojoba Massage Oil 1L</t>
  </si>
  <si>
    <t xml:space="preserve">A-Jojoba-Msg-1Ltr</t>
  </si>
  <si>
    <t xml:space="preserve">B0HJ7TBQ9K</t>
  </si>
  <si>
    <t xml:space="preserve">TMPE Batana Oil 30ml</t>
  </si>
  <si>
    <t xml:space="preserve">TMPE-Batana-30ml</t>
  </si>
  <si>
    <t xml:space="preserve">B0HJRDSX2P</t>
  </si>
  <si>
    <t xml:space="preserve">AROMATICO Neem Oil Plant Spray 200ml</t>
  </si>
  <si>
    <t xml:space="preserve">A-Neem oil Spray-200ml</t>
  </si>
  <si>
    <t xml:space="preserve">Destination</t>
  </si>
  <si>
    <t xml:space="preserve">Units sold (observed)</t>
  </si>
  <si>
    <t xml:space="preserve">Effective demand</t>
  </si>
  <si>
    <t xml:space="preserve">Daily rate</t>
  </si>
  <si>
    <t xml:space="preserve">Current stock</t>
  </si>
  <si>
    <t xml:space="preserve">Cover now (days)</t>
  </si>
  <si>
    <t xml:space="preserve">Already inbound</t>
  </si>
  <si>
    <t xml:space="preserve">Planned inbound</t>
  </si>
  <si>
    <t xml:space="preserve">SKU lines</t>
  </si>
  <si>
    <t xml:space="preserve">Capacity</t>
  </si>
  <si>
    <t xml:space="preserve">Available space</t>
  </si>
  <si>
    <t xml:space="preserve">Headroom after</t>
  </si>
  <si>
    <t xml:space="preserve">Constrained by capacity</t>
  </si>
  <si>
    <t xml:space="preserve">Largest product</t>
  </si>
  <si>
    <t xml:space="preserve">no</t>
  </si>
  <si>
    <t xml:space="preserve">AROMATICO Sweet Almond Oil 200ml (12)</t>
  </si>
  <si>
    <t xml:space="preserve">AROMATICO Rosehip Oil 100ml (6)</t>
  </si>
  <si>
    <t xml:space="preserve">YES</t>
  </si>
  <si>
    <t xml:space="preserve">AROMATICO Rosemary Hair Oil 100ml (7)</t>
  </si>
  <si>
    <t xml:space="preserve">AROMATICO Rosemary Hair Oil 200ml (18)</t>
  </si>
  <si>
    <t xml:space="preserve">AROMATICO Jojoba Oil 200ml (2)</t>
  </si>
  <si>
    <t xml:space="preserve">AROMATICO Muscle Comfort Deep Tissue Massage Oil 300ml (3)</t>
  </si>
  <si>
    <t xml:space="preserve">AROMATICO Sweet Almond Oil 200ml (10)</t>
  </si>
  <si>
    <t xml:space="preserve">AROMATICO Grapeseed Oil 200ml (31)</t>
  </si>
  <si>
    <t xml:space="preserve">AROMATICO Almond Massage Oil 300ml (8)</t>
  </si>
  <si>
    <t xml:space="preserve">AROMATICO Pumpkin Seed Oil 100ml (22)</t>
  </si>
  <si>
    <t xml:space="preserve">AROMATICO Pumpkin Seed Oil 100ml (23)</t>
  </si>
  <si>
    <t xml:space="preserve">AROMATICO Rosehip Oil 100ml (43)</t>
  </si>
  <si>
    <t xml:space="preserve">AROMATICO Pumpkin Seed Oil 100ml (38)</t>
  </si>
  <si>
    <t xml:space="preserve">AROMATICO Lavender Mint Massage Oil 300ml (21)</t>
  </si>
  <si>
    <t xml:space="preserve">HYD8</t>
  </si>
  <si>
    <t xml:space="preserve">-</t>
  </si>
  <si>
    <t xml:space="preserve">AROMATICO Pumpkin Seed Oil 100ml (7)</t>
  </si>
  <si>
    <t xml:space="preserve">TMPE Batana Oil 30ml (6)</t>
  </si>
  <si>
    <t xml:space="preserve">AROMATICO Pumpkin Seed Oil 100ml (52)</t>
  </si>
  <si>
    <t xml:space="preserve">AROMATICO Pumpkin Seed Oil 100ml (140)</t>
  </si>
  <si>
    <t xml:space="preserve">AROMATICO Kumkumadi Face Oil 200ml (11)</t>
  </si>
  <si>
    <t xml:space="preserve">PNQ3</t>
  </si>
  <si>
    <t xml:space="preserve">IXD cross-dock</t>
  </si>
  <si>
    <t xml:space="preserve">AROMATICO Pumpkin Seed Oil 100ml (274)</t>
  </si>
  <si>
    <t xml:space="preserve">AROMATICO Pumpkin Seed Oil 100ml (125)</t>
  </si>
  <si>
    <t xml:space="preserve">Sellable stock</t>
  </si>
  <si>
    <t xml:space="preserve">Inbound allocated</t>
  </si>
  <si>
    <t xml:space="preserve">Planned shipment</t>
  </si>
  <si>
    <t xml:space="preserve">Total held after</t>
  </si>
  <si>
    <t xml:space="preserve">Capacity used %</t>
  </si>
  <si>
    <t xml:space="preserve">Available space used %</t>
  </si>
  <si>
    <t xml:space="preserve">Which limit binds</t>
  </si>
  <si>
    <t xml:space="preserve">At limit?</t>
  </si>
  <si>
    <t xml:space="preserve">Units we could NOT place</t>
  </si>
  <si>
    <t xml:space="preserve">Capacity we would have needed</t>
  </si>
  <si>
    <t xml:space="preserve">Extra capacity to request</t>
  </si>
  <si>
    <t xml:space="preserve">Cover if granted (days)</t>
  </si>
  <si>
    <t xml:space="preserve">Capacity Units</t>
  </si>
  <si>
    <t xml:space="preserve">Available Space</t>
  </si>
  <si>
    <t xml:space="preserve">IXD headroom</t>
  </si>
  <si>
    <t xml:space="preserve">IXD</t>
  </si>
  <si>
    <t xml:space="preserve">THE EXPANSION CASE</t>
  </si>
  <si>
    <t xml:space="preserve">FCs at their limit this run: BLR7, BLR8, BOM5, BOM7, DED4, HYD8, LDX1, NAX1, PNQ3.</t>
  </si>
  <si>
    <t xml:space="preserve">ALREADY OVER THE STATED LIMIT on sellable stock plus open inbound alone, before any new shipment: HYD8 by 139 units; PNQ3 by 15 units. Zero units are planned into these. Either the capacity file is stale or Amazon has re-cut the limit - worth confirming before the next run.</t>
  </si>
  <si>
    <t xml:space="preserve">Units the FC network could not accept: 1481. Of those, 1480 were redirected to the Amazon IXD cross-docks (DED3/DED5) and 1 could not be placed anywhere.</t>
  </si>
  <si>
    <t xml:space="preserve">Extra storage capacity we would need for the full plan to fit at the destination FCs: 1596 units (see 'Extra capacity to request').</t>
  </si>
  <si>
    <t xml:space="preserve">These units cannot simply be re-routed. Amazon assigns destination FCs through Send to Amazon, so we cannot direct stock to an FC of our choosing; and the FCs that still have headroom are not the ones carrying the demand - the demand sits behind the constrained nodes, which is exactly why they are full.</t>
  </si>
  <si>
    <t xml:space="preserve">IXD (DED3/DED5) is a workaround, not a fix. Cross-docking gets stock into Amazon's network sooner and lets it distribute onward, but it does NOT create space at the constrained FCs. Until the limits at those FCs are raised, regional cover there stays short of the 45-day target.</t>
  </si>
  <si>
    <t xml:space="preserve">VTNF / off-network units</t>
  </si>
  <si>
    <t xml:space="preserve">VTNF share %</t>
  </si>
  <si>
    <t xml:space="preserve">Daily rate (effective)</t>
  </si>
  <si>
    <t xml:space="preserve">45-day requirement</t>
  </si>
  <si>
    <t xml:space="preserve">FC stock</t>
  </si>
  <si>
    <t xml:space="preserve">VTNF stock</t>
  </si>
  <si>
    <t xml:space="preserve">Gross gap</t>
  </si>
  <si>
    <t xml:space="preserve">Inbound on open shipments</t>
  </si>
  <si>
    <t xml:space="preserve">Net gap</t>
  </si>
  <si>
    <t xml:space="preserve">Ship to FCs</t>
  </si>
  <si>
    <t xml:space="preserve">Redirected to IXD</t>
  </si>
  <si>
    <t xml:space="preserve">Total shipment</t>
  </si>
  <si>
    <t xml:space="preserve">Still unplaced</t>
  </si>
  <si>
    <t xml:space="preserve">To Procure</t>
  </si>
  <si>
    <t xml:space="preserve">Demand mix basis</t>
  </si>
  <si>
    <t xml:space="preserve">Status</t>
  </si>
  <si>
    <t xml:space="preserve">fair share (pooled mix, &lt;3 own FC units)</t>
  </si>
  <si>
    <t xml:space="preserve">FC + IXD</t>
  </si>
  <si>
    <t xml:space="preserve">B0BNJLBCH6</t>
  </si>
  <si>
    <t xml:space="preserve">TMPE Cracked Heel Repair Cream 100gm</t>
  </si>
  <si>
    <t xml:space="preserve">cucumberheelpk-1</t>
  </si>
  <si>
    <t xml:space="preserve">BELOW 6-UNIT THRESHOLD</t>
  </si>
  <si>
    <t xml:space="preserve">B0C3D7XT6R</t>
  </si>
  <si>
    <t xml:space="preserve">TMPE Cuticle Oil 30ml</t>
  </si>
  <si>
    <t xml:space="preserve">almondcuticleoil30ml</t>
  </si>
  <si>
    <t xml:space="preserve">NO ACTION</t>
  </si>
  <si>
    <t xml:space="preserve">pooled state mix</t>
  </si>
  <si>
    <t xml:space="preserve">SHIP</t>
  </si>
  <si>
    <t xml:space="preserve">B0CL6P3TD8</t>
  </si>
  <si>
    <t xml:space="preserve">AROMATICO Rose Diffuser Oil 10ml</t>
  </si>
  <si>
    <t xml:space="preserve">ARO-DIFROSE10ML-1</t>
  </si>
  <si>
    <t xml:space="preserve">B0CL6W6FVW</t>
  </si>
  <si>
    <t xml:space="preserve">TMPE 7 Step Manicure-Pedicure Kit 88gm</t>
  </si>
  <si>
    <t xml:space="preserve">TMPE-MPKIT7S-1</t>
  </si>
  <si>
    <t xml:space="preserve">B0CLJHY3MJ</t>
  </si>
  <si>
    <t xml:space="preserve">CUTIKLES CutiCouple Cuticle Remover &amp; Cuticle Oil Combo 40ml</t>
  </si>
  <si>
    <t xml:space="preserve">CU-CUCOUPLE-2</t>
  </si>
  <si>
    <t xml:space="preserve">B0CNXYDR9W</t>
  </si>
  <si>
    <t xml:space="preserve">CUTIKLES Callus Remover Gel 30ml</t>
  </si>
  <si>
    <t xml:space="preserve">Copy-Callus Remover Gel 30ml</t>
  </si>
  <si>
    <t xml:space="preserve">B0CVMYCW7G</t>
  </si>
  <si>
    <t xml:space="preserve">AROMATICO Rose Essential Oil 30ml</t>
  </si>
  <si>
    <t xml:space="preserve">40318</t>
  </si>
  <si>
    <t xml:space="preserve">B0CVND98DQ</t>
  </si>
  <si>
    <t xml:space="preserve">AROMATICO Rosemary Essential Oil 30ml</t>
  </si>
  <si>
    <t xml:space="preserve">40325</t>
  </si>
  <si>
    <t xml:space="preserve">B0CVQ6RTD3</t>
  </si>
  <si>
    <t xml:space="preserve">AROMATICO Sandalwood Diffuser Oil 500ml</t>
  </si>
  <si>
    <t xml:space="preserve">40776</t>
  </si>
  <si>
    <t xml:space="preserve">B0CVQ6W8JG</t>
  </si>
  <si>
    <t xml:space="preserve">AROMATICO Rosemary Diffuser Oil 30ml</t>
  </si>
  <si>
    <t xml:space="preserve">40622</t>
  </si>
  <si>
    <t xml:space="preserve">B0CVQ75QG9</t>
  </si>
  <si>
    <t xml:space="preserve">AROMATICO Jasmine Diffuser Oil 500ml</t>
  </si>
  <si>
    <t xml:space="preserve">40677</t>
  </si>
  <si>
    <t xml:space="preserve">B0CVQ795R1</t>
  </si>
  <si>
    <t xml:space="preserve">AROMATICO Eucalyptus Diffuser Oil 1L</t>
  </si>
  <si>
    <t xml:space="preserve">40806</t>
  </si>
  <si>
    <t xml:space="preserve">per-ASIN VTNF state mix</t>
  </si>
  <si>
    <t xml:space="preserve">B0CVQ8J6L4</t>
  </si>
  <si>
    <t xml:space="preserve">AROMATICO Tea Tree Diffuser Oil 500ml</t>
  </si>
  <si>
    <t xml:space="preserve">40783</t>
  </si>
  <si>
    <t xml:space="preserve">B0CVQ8L3F7</t>
  </si>
  <si>
    <t xml:space="preserve">AROMATICO Peppermint Diffuser Oil 500ml</t>
  </si>
  <si>
    <t xml:space="preserve">40745</t>
  </si>
  <si>
    <t xml:space="preserve">B0CVQ9SL4G</t>
  </si>
  <si>
    <t xml:space="preserve">AROMATICO Ylang Mandarin Diffuser Oil 500ml</t>
  </si>
  <si>
    <t xml:space="preserve">40790</t>
  </si>
  <si>
    <t xml:space="preserve">B0CVQB9NQR</t>
  </si>
  <si>
    <t xml:space="preserve">AROMATICO Lemongrass Diffuser Oil 1L</t>
  </si>
  <si>
    <t xml:space="preserve">40851</t>
  </si>
  <si>
    <t xml:space="preserve">B0CVQBF6DB</t>
  </si>
  <si>
    <t xml:space="preserve">AROMATICO Jasmine Orange Diffuser Oil 30ml</t>
  </si>
  <si>
    <t xml:space="preserve">40547</t>
  </si>
  <si>
    <t xml:space="preserve">B0CVQBMQ9Z</t>
  </si>
  <si>
    <t xml:space="preserve">AROMATICO Lemon Diffuser Oil 500ml</t>
  </si>
  <si>
    <t xml:space="preserve">40707 c</t>
  </si>
  <si>
    <t xml:space="preserve">B0CVQBQ56Q</t>
  </si>
  <si>
    <t xml:space="preserve">AROMATICO Lemongrass Diffuser Oil 500ml</t>
  </si>
  <si>
    <t xml:space="preserve">40714</t>
  </si>
  <si>
    <t xml:space="preserve">B0CVQCTVXR</t>
  </si>
  <si>
    <t xml:space="preserve">AROMATICO Rosemary Diffuser Oil 1L</t>
  </si>
  <si>
    <t xml:space="preserve">40905</t>
  </si>
  <si>
    <t xml:space="preserve">B0CVQF4Y7L</t>
  </si>
  <si>
    <t xml:space="preserve">AROMATICO Peppermint Diffuser Oil 30ml</t>
  </si>
  <si>
    <t xml:space="preserve">40608</t>
  </si>
  <si>
    <t xml:space="preserve">B0CVQHCD7C</t>
  </si>
  <si>
    <t xml:space="preserve">AROMATICO Ylang Mandarin Diffuser Oil 30ml</t>
  </si>
  <si>
    <t xml:space="preserve">40653</t>
  </si>
  <si>
    <t xml:space="preserve">n/a (no VTNF / off-network units)</t>
  </si>
  <si>
    <t xml:space="preserve">B0CVQJS2NC</t>
  </si>
  <si>
    <t xml:space="preserve">AROMATICO Sandalwood Diffuser Oil 1L</t>
  </si>
  <si>
    <t xml:space="preserve">40912</t>
  </si>
  <si>
    <t xml:space="preserve">B0CVQK8YSX</t>
  </si>
  <si>
    <t xml:space="preserve">AROMATICO Orange Diffuser Oil 1L</t>
  </si>
  <si>
    <t xml:space="preserve">40868</t>
  </si>
  <si>
    <t xml:space="preserve">B0CVQKX5SX</t>
  </si>
  <si>
    <t xml:space="preserve">AROMATICO Lemon Diffuser Oil 1L</t>
  </si>
  <si>
    <t xml:space="preserve">40844</t>
  </si>
  <si>
    <t xml:space="preserve">B0CVQLKQ4S</t>
  </si>
  <si>
    <t xml:space="preserve">AROMATICO Lavender Diffuser Oil 1L</t>
  </si>
  <si>
    <t xml:space="preserve">40837</t>
  </si>
  <si>
    <t xml:space="preserve">B0CVQLLGKF</t>
  </si>
  <si>
    <t xml:space="preserve">AROMATICO Orange Diffuser Oil 500ml</t>
  </si>
  <si>
    <t xml:space="preserve">40721</t>
  </si>
  <si>
    <t xml:space="preserve">B0CVQN4JVS</t>
  </si>
  <si>
    <t xml:space="preserve">AROMATICO Ylang Mandarin Diffuser Oil 1L</t>
  </si>
  <si>
    <t xml:space="preserve">40936</t>
  </si>
  <si>
    <t xml:space="preserve">B0CVQP6GHS</t>
  </si>
  <si>
    <t xml:space="preserve">AROMATICO Jasmine Diffuser Oil 1L</t>
  </si>
  <si>
    <t xml:space="preserve">40813</t>
  </si>
  <si>
    <t xml:space="preserve">B0CVRPV937</t>
  </si>
  <si>
    <t xml:space="preserve">TMPE Jojoba Oil 30ml</t>
  </si>
  <si>
    <t xml:space="preserve">41940</t>
  </si>
  <si>
    <t xml:space="preserve">B0CVRZB43M</t>
  </si>
  <si>
    <t xml:space="preserve">TMPE Rosehip Seed Oil 30ml</t>
  </si>
  <si>
    <t xml:space="preserve">41933</t>
  </si>
  <si>
    <t xml:space="preserve">B0CVTNQX9C</t>
  </si>
  <si>
    <t xml:space="preserve">TMPE Nail Strengthener Serum 30ml</t>
  </si>
  <si>
    <t xml:space="preserve">41964</t>
  </si>
  <si>
    <t xml:space="preserve">B0CWVJFHKM</t>
  </si>
  <si>
    <t xml:space="preserve">TMPE Lemon Diffuser Oil 250ml</t>
  </si>
  <si>
    <t xml:space="preserve">841551</t>
  </si>
  <si>
    <t xml:space="preserve">B0CYPR6QN4</t>
  </si>
  <si>
    <t xml:space="preserve">TMPE Stainless Steel Foot Scraper Pedi File Refill 50 pcs</t>
  </si>
  <si>
    <t xml:space="preserve">842091</t>
  </si>
  <si>
    <t xml:space="preserve">B0D5BJ5FCM</t>
  </si>
  <si>
    <t xml:space="preserve">AROMATICO Rose Bath Salt 500gm</t>
  </si>
  <si>
    <t xml:space="preserve">842220</t>
  </si>
  <si>
    <t xml:space="preserve">B0D6W3VJDC</t>
  </si>
  <si>
    <t xml:space="preserve">TMPE Pain Relief Massage Oil 300ml</t>
  </si>
  <si>
    <t xml:space="preserve">842183</t>
  </si>
  <si>
    <t xml:space="preserve">B0D6WTK73L</t>
  </si>
  <si>
    <t xml:space="preserve">AROMATICO Amla Bhringraj Hair Oil 200ml</t>
  </si>
  <si>
    <t xml:space="preserve">Aro-Amla-Bhringraj-200ml</t>
  </si>
  <si>
    <t xml:space="preserve">B0DDHRNZKT</t>
  </si>
  <si>
    <t xml:space="preserve">CUTIKLES Callus Remover Gel 200ml</t>
  </si>
  <si>
    <t xml:space="preserve">842428</t>
  </si>
  <si>
    <t xml:space="preserve">B0DDXXJRG9</t>
  </si>
  <si>
    <t xml:space="preserve">AROMATICO Castor Oil 200ml</t>
  </si>
  <si>
    <t xml:space="preserve">Castor_842312</t>
  </si>
  <si>
    <t xml:space="preserve">B0DF2CLFYX</t>
  </si>
  <si>
    <t xml:space="preserve">MINERAYA Magnesium Oil Spray 200ml</t>
  </si>
  <si>
    <t xml:space="preserve">Magnesium_842435</t>
  </si>
  <si>
    <t xml:space="preserve">B0DFYFTRV6</t>
  </si>
  <si>
    <t xml:space="preserve">TMPE Nourishing Cuticle Oil 30ml</t>
  </si>
  <si>
    <t xml:space="preserve">CuticleOil-30ML</t>
  </si>
  <si>
    <t xml:space="preserve">B0DGKZWNN3</t>
  </si>
  <si>
    <t xml:space="preserve">AROMATICO Lavender Mint &amp; Jasmine Orange Massage Oil 300ml Pack of 2</t>
  </si>
  <si>
    <t xml:space="preserve">Lavender &amp; Jasmine</t>
  </si>
  <si>
    <t xml:space="preserve">B0DGL8MB1Z</t>
  </si>
  <si>
    <t xml:space="preserve">AROMATICO Lavender Mint Massage Oil 300ml Pack of 2</t>
  </si>
  <si>
    <t xml:space="preserve">Lavender Mint-Pack2</t>
  </si>
  <si>
    <t xml:space="preserve">B0DH37Z95J</t>
  </si>
  <si>
    <t xml:space="preserve">AROMATICO Warm Vanilla Body Oil Mist 200ml</t>
  </si>
  <si>
    <t xml:space="preserve">842442</t>
  </si>
  <si>
    <t xml:space="preserve">B0DH38K6G1</t>
  </si>
  <si>
    <t xml:space="preserve">AROMATICO Citrus Fresh Body Oil Mist 200ml</t>
  </si>
  <si>
    <t xml:space="preserve">842459</t>
  </si>
  <si>
    <t xml:space="preserve">B0DHSDPNLM</t>
  </si>
  <si>
    <t xml:space="preserve">TMPE Pain Relief Massage Oil 300ml Pack of 2</t>
  </si>
  <si>
    <t xml:space="preserve">Pain Relief - 2pcs</t>
  </si>
  <si>
    <t xml:space="preserve">B0DKWP8H4C</t>
  </si>
  <si>
    <t xml:space="preserve">MINERAYA Magnesium Body Lotion 200ml</t>
  </si>
  <si>
    <t xml:space="preserve">842596</t>
  </si>
  <si>
    <t xml:space="preserve">B0DKWRGBGP</t>
  </si>
  <si>
    <t xml:space="preserve">AROMATICO Magnesium Body Lotion 200ml</t>
  </si>
  <si>
    <t xml:space="preserve">842589</t>
  </si>
  <si>
    <t xml:space="preserve">B0DP9RNF3S</t>
  </si>
  <si>
    <t xml:space="preserve">TMPE Warm Vanilla Body Oil Mist 200ml</t>
  </si>
  <si>
    <t xml:space="preserve">842930</t>
  </si>
  <si>
    <t xml:space="preserve">B0DRFQR672</t>
  </si>
  <si>
    <t xml:space="preserve">AROMATICO Ayurvedic Herbal Potli 200gm Pack of 2</t>
  </si>
  <si>
    <t xml:space="preserve">Herbal Potli - Pack 2</t>
  </si>
  <si>
    <t xml:space="preserve">B0DRZWXPTQ</t>
  </si>
  <si>
    <t xml:space="preserve">TMPE Professional Cuticle Oil Refill 200ml</t>
  </si>
  <si>
    <t xml:space="preserve">842473</t>
  </si>
  <si>
    <t xml:space="preserve">B0DXTHSP9K</t>
  </si>
  <si>
    <t xml:space="preserve">TMPE Ayurvedic Herbal Massage Potli 200gm</t>
  </si>
  <si>
    <t xml:space="preserve">843050</t>
  </si>
  <si>
    <t xml:space="preserve">B0F5WHVZYS</t>
  </si>
  <si>
    <t xml:space="preserve">INTIAID Rose Intimate Massage Oil 200ml</t>
  </si>
  <si>
    <t xml:space="preserve">INTIAID-INTIMATE-CPL-MASAAGE-OIL200ML</t>
  </si>
  <si>
    <t xml:space="preserve">B0FD4ZCVR4</t>
  </si>
  <si>
    <t xml:space="preserve">TMPE Toenail Repair Serum 30ml</t>
  </si>
  <si>
    <t xml:space="preserve">TMPE_Toenail Repair Serum_30ml/1 fl oz.</t>
  </si>
  <si>
    <t xml:space="preserve">B0FF2P17CQ</t>
  </si>
  <si>
    <t xml:space="preserve">AROMATICO Warm Vanilla &amp; Honey Almond Body Oil Mist 200ml Pack of 2</t>
  </si>
  <si>
    <t xml:space="preserve">Aromatico+bodyoilmist200ml</t>
  </si>
  <si>
    <t xml:space="preserve">B0FF47ZC1F</t>
  </si>
  <si>
    <t xml:space="preserve">AROMATICO Rose Sandalwood &amp; Lavender Mint Massage Oil 300ml Pack of 2</t>
  </si>
  <si>
    <t xml:space="preserve">AROMA-Rose+ Lavender+Mint300ml_FBA</t>
  </si>
  <si>
    <t xml:space="preserve">B0FF488QLL</t>
  </si>
  <si>
    <t xml:space="preserve">AROMATICO Rose Sandalwood &amp; Ylang-Ylang Massage Oil 300ml Pack of 2</t>
  </si>
  <si>
    <t xml:space="preserve">Aro-Rose+ylangMassageoil-300ml_FBA</t>
  </si>
  <si>
    <t xml:space="preserve">B0FFGQ4N4D</t>
  </si>
  <si>
    <t xml:space="preserve">AROMATICO Oudh Royal Body Mist Spray 110ml</t>
  </si>
  <si>
    <t xml:space="preserve">GD-DV33-DXSC</t>
  </si>
  <si>
    <t xml:space="preserve">B0FFH348X1</t>
  </si>
  <si>
    <t xml:space="preserve">AROMATICO Patchouli Santal Body Mist Spray 110ml</t>
  </si>
  <si>
    <t xml:space="preserve">DW-L11D-7WIO</t>
  </si>
  <si>
    <t xml:space="preserve">B0FFH89VLR</t>
  </si>
  <si>
    <t xml:space="preserve">AROMATICO Oudh Rose Body Mist Spray 110ml</t>
  </si>
  <si>
    <t xml:space="preserve">Z1-CL0M-VU2C</t>
  </si>
  <si>
    <t xml:space="preserve">B0FKZ8L54J</t>
  </si>
  <si>
    <t xml:space="preserve">AROMATICO Tea Tree Hair Oil 100ml</t>
  </si>
  <si>
    <t xml:space="preserve">MF-772T-ZVL7</t>
  </si>
  <si>
    <t xml:space="preserve">B0FL2NYTB1</t>
  </si>
  <si>
    <t xml:space="preserve">AROMATICO Magnesium Oil Spray 100ml</t>
  </si>
  <si>
    <t xml:space="preserve">M6-4KVI-JEAA</t>
  </si>
  <si>
    <t xml:space="preserve">B0FNN2BGKN</t>
  </si>
  <si>
    <t xml:space="preserve">AROMATICO Ylang Ylang Massage Oil 300ml Pack of 2</t>
  </si>
  <si>
    <t xml:space="preserve">CI-P185-QU55</t>
  </si>
  <si>
    <t xml:space="preserve">B0FNRGN1GH</t>
  </si>
  <si>
    <t xml:space="preserve">TMPE Sweet Almond Oil 30ml</t>
  </si>
  <si>
    <t xml:space="preserve">0W-LIAS-FD8D</t>
  </si>
  <si>
    <t xml:space="preserve">B0FNRM453R</t>
  </si>
  <si>
    <t xml:space="preserve">TMPE Kumkumadi Oil 30ml</t>
  </si>
  <si>
    <t xml:space="preserve">2L-QJWF-HVUS</t>
  </si>
  <si>
    <t xml:space="preserve">B0FNRQ49SB</t>
  </si>
  <si>
    <t xml:space="preserve">AROMATICO Lemon Diffuser Oil 250ml</t>
  </si>
  <si>
    <t xml:space="preserve">9G-2F9B-ZVIO</t>
  </si>
  <si>
    <t xml:space="preserve">B0FNRQ7F9B</t>
  </si>
  <si>
    <t xml:space="preserve">AROMATICO Orange Diffuser Oil 250ml</t>
  </si>
  <si>
    <t xml:space="preserve">19-PRDT-EQE9</t>
  </si>
  <si>
    <t xml:space="preserve">B0FNRR1WMT</t>
  </si>
  <si>
    <t xml:space="preserve">AROMATICO Lemongrass Diffuser Oil 250ml</t>
  </si>
  <si>
    <t xml:space="preserve">G9-A8ZC-8VUP</t>
  </si>
  <si>
    <t xml:space="preserve">B0FNRR5Y1X</t>
  </si>
  <si>
    <t xml:space="preserve">AROMATICO Lavender Diffuser Oil 250ml</t>
  </si>
  <si>
    <t xml:space="preserve">21-9PB4-XNOA</t>
  </si>
  <si>
    <t xml:space="preserve">B0FNRS8J6R</t>
  </si>
  <si>
    <t xml:space="preserve">AROMATICO Jasmine Diffuser Oil 250ml</t>
  </si>
  <si>
    <t xml:space="preserve">YS-ZOFX-0S2P</t>
  </si>
  <si>
    <t xml:space="preserve">B0FNRYT5ND</t>
  </si>
  <si>
    <t xml:space="preserve">AROMATICO Rose Diffuser Oil 250ml</t>
  </si>
  <si>
    <t xml:space="preserve">YJ-0EFV-CZMZ</t>
  </si>
  <si>
    <t xml:space="preserve">B0FNX5XRP3</t>
  </si>
  <si>
    <t xml:space="preserve">AROMATICO Jojoba Oil 100ml</t>
  </si>
  <si>
    <t xml:space="preserve">Aromatico-JOJOBA Oil-100ml</t>
  </si>
  <si>
    <t xml:space="preserve">B0FP2Q6JBG</t>
  </si>
  <si>
    <t xml:space="preserve">AROMATICO Fractionated Coconut Oil 100ml</t>
  </si>
  <si>
    <t xml:space="preserve">EAN CODE - 8906180843449</t>
  </si>
  <si>
    <t xml:space="preserve">B0FP2RMC48</t>
  </si>
  <si>
    <t xml:space="preserve">TMPE Argan Oil 30ml</t>
  </si>
  <si>
    <t xml:space="preserve">27-SCA5-QSPU</t>
  </si>
  <si>
    <t xml:space="preserve">B0FP9K4MGR</t>
  </si>
  <si>
    <t xml:space="preserve">AROMATICO Kumkumadi Tailam Face Oil 100ml</t>
  </si>
  <si>
    <t xml:space="preserve">Aromatico-Kumkumadi Oil-100ml</t>
  </si>
  <si>
    <t xml:space="preserve">B0FS733NWX</t>
  </si>
  <si>
    <t xml:space="preserve">AROMATICO Sandalwood Reed Diffuser Oil Refill 100ml</t>
  </si>
  <si>
    <t xml:space="preserve">9S-CB27-M233</t>
  </si>
  <si>
    <t xml:space="preserve">B0FS74BH9C</t>
  </si>
  <si>
    <t xml:space="preserve">AROMATICO Peppermint Reed Diffuser Oil Refill 100ml</t>
  </si>
  <si>
    <t xml:space="preserve">V1-OJLF-OEC4</t>
  </si>
  <si>
    <t xml:space="preserve">B0FSXX4N75</t>
  </si>
  <si>
    <t xml:space="preserve">AROMATICO Lemon Reed Diffuser Oil Refill 100ml</t>
  </si>
  <si>
    <t xml:space="preserve">Q3-N0QR-UGDR</t>
  </si>
  <si>
    <t xml:space="preserve">B0FSXZ2GWZ</t>
  </si>
  <si>
    <t xml:space="preserve">AROMATICO Orange Reed Diffuser Oil Refill 100ml</t>
  </si>
  <si>
    <t xml:space="preserve">KG-FZES-9RFW</t>
  </si>
  <si>
    <t xml:space="preserve">B0FT3W6PFJ</t>
  </si>
  <si>
    <t xml:space="preserve">AROMATICO Rose Reed Diffuser Oil Refill 100ml</t>
  </si>
  <si>
    <t xml:space="preserve">BV-J8PG-2QGS</t>
  </si>
  <si>
    <t xml:space="preserve">B0G1LN9HN3</t>
  </si>
  <si>
    <t xml:space="preserve">AROMATICO Argan Oil 100ml</t>
  </si>
  <si>
    <t xml:space="preserve">Aromatico-ARGAN Oil-100ml</t>
  </si>
  <si>
    <t xml:space="preserve">B0G1LRWHVL</t>
  </si>
  <si>
    <t xml:space="preserve">AROMATICO Camphor Diffuser Oil 100ml</t>
  </si>
  <si>
    <t xml:space="preserve">Aromatico-CAMPHOR - Aroma Oil 100ml</t>
  </si>
  <si>
    <t xml:space="preserve">B0G1MGDJK2</t>
  </si>
  <si>
    <t xml:space="preserve">TMPE Anti-Cellulite Massage Oil 300ml Pack of 2</t>
  </si>
  <si>
    <t xml:space="preserve">Anti Cellulite 300ml - Pack of 2</t>
  </si>
  <si>
    <t xml:space="preserve">B0G1SG7YPJ</t>
  </si>
  <si>
    <t xml:space="preserve">TMPE Anti-Cellulite Massage Oil 300ml Pack of 3</t>
  </si>
  <si>
    <t xml:space="preserve">Anti Cellulite 300ml - PK 3</t>
  </si>
  <si>
    <t xml:space="preserve">B0G93FGZDQ</t>
  </si>
  <si>
    <t xml:space="preserve">TMPE Professional Cuticle Oil Refill Pack</t>
  </si>
  <si>
    <t xml:space="preserve">LP-KY57-GMRX</t>
  </si>
  <si>
    <t xml:space="preserve">B0GDTPNJFG</t>
  </si>
  <si>
    <t xml:space="preserve">40912 c</t>
  </si>
  <si>
    <t xml:space="preserve">B0GNZNJ5P2</t>
  </si>
  <si>
    <t xml:space="preserve">AROMATICO Lemongrass Cinnamon Massage Oil 1L</t>
  </si>
  <si>
    <t xml:space="preserve">Lemon-Cinnamon-MSG-Oil-1Ltr</t>
  </si>
  <si>
    <t xml:space="preserve">B0GNZVRWM4</t>
  </si>
  <si>
    <t xml:space="preserve">AROMATICO Bitter Almond Massage Oil 1L</t>
  </si>
  <si>
    <t xml:space="preserve">Bitter-Almond-MSG-Oil-1Ltr</t>
  </si>
  <si>
    <t xml:space="preserve">B0GNZVT19W</t>
  </si>
  <si>
    <t xml:space="preserve">AROMATICO Rose &amp; Sandalwood Massage Oil 1L</t>
  </si>
  <si>
    <t xml:space="preserve">Rose-Sandalwood-MSG-Oil-1Ltr</t>
  </si>
  <si>
    <t xml:space="preserve">B0GP12X28M</t>
  </si>
  <si>
    <t xml:space="preserve">AROMATICO Ylang Ylang Massage Oil 1L</t>
  </si>
  <si>
    <t xml:space="preserve">Ylang-MSG-Oil-1Ltr</t>
  </si>
  <si>
    <t xml:space="preserve">B0GY4SJQD7</t>
  </si>
  <si>
    <t xml:space="preserve">AROMATICO Rosehip Oil 200ml</t>
  </si>
  <si>
    <t xml:space="preserve">A-Rosehip-200ml</t>
  </si>
  <si>
    <t xml:space="preserve">B0GY94WQV3</t>
  </si>
  <si>
    <t xml:space="preserve">AROMATICO Olive Oil 200ml</t>
  </si>
  <si>
    <t xml:space="preserve">A-Olive-oil-200ml</t>
  </si>
  <si>
    <t xml:space="preserve">B0GZP5HGPX</t>
  </si>
  <si>
    <t xml:space="preserve">AROMATICO Chamomile Massage Oil 300ml</t>
  </si>
  <si>
    <t xml:space="preserve">A-Chamomile-Massage-300ml</t>
  </si>
  <si>
    <t xml:space="preserve">B0GZPP9N2Z</t>
  </si>
  <si>
    <t xml:space="preserve">AROMATICO Avocado Oil 100ml</t>
  </si>
  <si>
    <t xml:space="preserve">A-Avocado-oil-100ml</t>
  </si>
  <si>
    <t xml:space="preserve">B0GZPZLV8M</t>
  </si>
  <si>
    <t xml:space="preserve">AYURVIDA Rosehip Oil 60ml</t>
  </si>
  <si>
    <t xml:space="preserve">Ayur-Rosehip-60ml</t>
  </si>
  <si>
    <t xml:space="preserve">B0H1172PP5</t>
  </si>
  <si>
    <t xml:space="preserve">AROMATICO Apricot Kernel Oil 100ml</t>
  </si>
  <si>
    <t xml:space="preserve">A-Apricot-oil-100ml</t>
  </si>
  <si>
    <t xml:space="preserve">B0H11QZXVC</t>
  </si>
  <si>
    <t xml:space="preserve">AROMATICO Neem Oil 100ml</t>
  </si>
  <si>
    <t xml:space="preserve">Neem-oil-100ml</t>
  </si>
  <si>
    <t xml:space="preserve">B0H1W3NZVT</t>
  </si>
  <si>
    <t xml:space="preserve">AROMATICO Ginger Arnica Deep Tissue Massage Oil 300ml</t>
  </si>
  <si>
    <t xml:space="preserve">Aro-Ginger&amp;Arnica-300 Ml</t>
  </si>
  <si>
    <t xml:space="preserve">B0H25R6DM2</t>
  </si>
  <si>
    <t xml:space="preserve">AROMATICO Vitamin E Body Oil 200ml</t>
  </si>
  <si>
    <t xml:space="preserve">A-VitaminE-Bodyoil-200ml</t>
  </si>
  <si>
    <t xml:space="preserve">B0H25T41C1</t>
  </si>
  <si>
    <t xml:space="preserve">TMPE Sore Muscle Relaxing Massage Oil 300ml</t>
  </si>
  <si>
    <t xml:space="preserve">TMPE-SoreMuscle-Massage-300ml</t>
  </si>
  <si>
    <t xml:space="preserve">B0H25W75Z6</t>
  </si>
  <si>
    <t xml:space="preserve">AYURVIDA Ginger Arnica Post Workout Massage Oil 300ml</t>
  </si>
  <si>
    <t xml:space="preserve">Ayur-Ginger-Arnica-Massage-300ml</t>
  </si>
  <si>
    <t xml:space="preserve">IXD only</t>
  </si>
  <si>
    <t xml:space="preserve">B0H41W5NMX</t>
  </si>
  <si>
    <t xml:space="preserve">AROMATICO Camphor Diffuser Oil 500ml</t>
  </si>
  <si>
    <t xml:space="preserve">A-Camphor-Diffuser-500ml</t>
  </si>
  <si>
    <t xml:space="preserve">B0H45P71BY</t>
  </si>
  <si>
    <t xml:space="preserve">AROMATICO MCT Fractionated Coconut Oil 1L</t>
  </si>
  <si>
    <t xml:space="preserve">Aro-Fractionated-Coconut-oil-946ml</t>
  </si>
  <si>
    <t xml:space="preserve">B0H45RKGXQ</t>
  </si>
  <si>
    <t xml:space="preserve">AROMATICO Sweet Almond Oil 1L</t>
  </si>
  <si>
    <t xml:space="preserve">Aro-SweetAlmond-oil-946ml</t>
  </si>
  <si>
    <t xml:space="preserve">B0H49PS45V</t>
  </si>
  <si>
    <t xml:space="preserve">AROMATICO Pure Glycerine 100ml</t>
  </si>
  <si>
    <t xml:space="preserve">Aro-Glycerine-100ml</t>
  </si>
  <si>
    <t xml:space="preserve">B0H71ZWVZ2</t>
  </si>
  <si>
    <t xml:space="preserve">AROMATICO Camphor Pouch 60g Pack of 2</t>
  </si>
  <si>
    <t xml:space="preserve">A-Camphor-Pouch(Pack of 2)</t>
  </si>
  <si>
    <t xml:space="preserve">B0H71ZY8DK</t>
  </si>
  <si>
    <t xml:space="preserve">AROMATICO Camphor Pouch 60g Pack of 4</t>
  </si>
  <si>
    <t xml:space="preserve">A-Camphor-Pouch(Pack of 4)</t>
  </si>
  <si>
    <t xml:space="preserve">B0H721B562</t>
  </si>
  <si>
    <t xml:space="preserve">AROMATICO Camphor Pouch 60g Pack of 3</t>
  </si>
  <si>
    <t xml:space="preserve">A-Camphor-Pouch(Pack of 3)</t>
  </si>
  <si>
    <t xml:space="preserve">B0H8DRN44C</t>
  </si>
  <si>
    <t xml:space="preserve">AROMATICO Jojoba Oil 1L</t>
  </si>
  <si>
    <t xml:space="preserve">Aro-Jojoba-oil-1Ltr</t>
  </si>
  <si>
    <t xml:space="preserve">B0HDP9BFB7</t>
  </si>
  <si>
    <t xml:space="preserve">AYURVIDA Stress Relief Aromatherapy Massage Oil 1L</t>
  </si>
  <si>
    <t xml:space="preserve">Ayur-Stress-Relief-Msg-1Ltr</t>
  </si>
  <si>
    <t xml:space="preserve">B0HDPCZDSZ</t>
  </si>
  <si>
    <t xml:space="preserve">AYURVIDA Vitamin E Body Massage Oil 1L</t>
  </si>
  <si>
    <t xml:space="preserve">Ayur-VitaminE-Msg-1Ltr</t>
  </si>
  <si>
    <t xml:space="preserve">B0HDPD6KD2</t>
  </si>
  <si>
    <t xml:space="preserve">TMPE Anti Cellulite Shape-Up Slimming Massage Oil 1L</t>
  </si>
  <si>
    <t xml:space="preserve">TMPE-Anti-Cellulite-1Ltr</t>
  </si>
  <si>
    <t xml:space="preserve">B0HDPXSN75</t>
  </si>
  <si>
    <t xml:space="preserve">INTIAID Lavender Couples Massage Oil 1L</t>
  </si>
  <si>
    <t xml:space="preserve">Intiaid-Lavender-Couple-1Ltr</t>
  </si>
  <si>
    <t xml:space="preserve">B0HDTNHJ3F</t>
  </si>
  <si>
    <t xml:space="preserve">AROMATICO Virgin Coconut Oil 1L</t>
  </si>
  <si>
    <t xml:space="preserve">A-Virgin-Coconut-Oil-1Ltr</t>
  </si>
  <si>
    <t xml:space="preserve">B0HF511LY3</t>
  </si>
  <si>
    <t xml:space="preserve">TMPE Virgin Coconut Oil 30ml</t>
  </si>
  <si>
    <t xml:space="preserve">TMPE-Virgin-Coconut-30ml</t>
  </si>
  <si>
    <t xml:space="preserve">B0HF52JRL5</t>
  </si>
  <si>
    <t xml:space="preserve">TMPE Olive Oil 30ml</t>
  </si>
  <si>
    <t xml:space="preserve">TMPE-Olive-30ml</t>
  </si>
  <si>
    <t xml:space="preserve">B0HF53YYM2</t>
  </si>
  <si>
    <t xml:space="preserve">TMPE Neem Oil 30ml</t>
  </si>
  <si>
    <t xml:space="preserve">TMPE-Neem-30ml</t>
  </si>
  <si>
    <t xml:space="preserve">B0HF55MRL3</t>
  </si>
  <si>
    <t xml:space="preserve">TMPE Kalonji Oil 30ml</t>
  </si>
  <si>
    <t xml:space="preserve">TMPE-Kalonji-30ml</t>
  </si>
  <si>
    <t xml:space="preserve">B0HF56XNBB</t>
  </si>
  <si>
    <t xml:space="preserve">TMPE Pumpkin Seed Oil 30ml</t>
  </si>
  <si>
    <t xml:space="preserve">TMPE-Pumpkin-30ml</t>
  </si>
  <si>
    <t xml:space="preserve">B0HJ5JLN8G</t>
  </si>
  <si>
    <t xml:space="preserve">AROMATICO Batana Oil 200ml</t>
  </si>
  <si>
    <t xml:space="preserve">A-Batanaoil-200ml</t>
  </si>
  <si>
    <t xml:space="preserve">B0HJ5KGXYD</t>
  </si>
  <si>
    <t xml:space="preserve">AROMATICO Flaxseed Oil 200ml</t>
  </si>
  <si>
    <t xml:space="preserve">A-Flaxseedoil-200ml</t>
  </si>
  <si>
    <t xml:space="preserve">B0HJ5LWGJJ</t>
  </si>
  <si>
    <t xml:space="preserve">AROMATICO Sea Buckthorn Oil 200ml</t>
  </si>
  <si>
    <t xml:space="preserve">A-Seabuckthorn-oil-200ml</t>
  </si>
  <si>
    <t xml:space="preserve">B0HJ5PRV4P</t>
  </si>
  <si>
    <t xml:space="preserve">AROMATICO Sea Buckthorn Oil 1L</t>
  </si>
  <si>
    <t xml:space="preserve">A-Seabuckthorn-oil-1Ltr</t>
  </si>
  <si>
    <t xml:space="preserve">B0HJ5TVKKC</t>
  </si>
  <si>
    <t xml:space="preserve">AROMATICO Peppermint Massage Oil 1L</t>
  </si>
  <si>
    <t xml:space="preserve">A-Peppermint-Msg-1Ltr</t>
  </si>
  <si>
    <t xml:space="preserve">B0HJ5VFLQS</t>
  </si>
  <si>
    <t xml:space="preserve">AROMATICO Coconut Massage Oil 1L</t>
  </si>
  <si>
    <t xml:space="preserve">A-Coconut-Msg-1Ltr</t>
  </si>
  <si>
    <t xml:space="preserve">B0HJ5VGVYD</t>
  </si>
  <si>
    <t xml:space="preserve">AROMATICO Ginger Arnica Deep Tissue Massage Oil 1L</t>
  </si>
  <si>
    <t xml:space="preserve">A-Ginger-Arnica-Msg-1Ltr</t>
  </si>
  <si>
    <t xml:space="preserve">B0HJ5XZ6D9</t>
  </si>
  <si>
    <t xml:space="preserve">AROMATICO Ayurvedic Massage Oil 1L</t>
  </si>
  <si>
    <t xml:space="preserve">A-Ayurvedic-Msg-1Ltr</t>
  </si>
  <si>
    <t xml:space="preserve">B0HJ5YNZSQ</t>
  </si>
  <si>
    <t xml:space="preserve">AROMATICO Sesame Massage Oil 1L</t>
  </si>
  <si>
    <t xml:space="preserve">A-Sesame-Msg-1Ltr</t>
  </si>
  <si>
    <t xml:space="preserve">B0HJ5Z2NYD</t>
  </si>
  <si>
    <t xml:space="preserve">AROMATICO Anti Cellulite Massage Oil 1L</t>
  </si>
  <si>
    <t xml:space="preserve">A-Anti-Cellulite-Msg-1Ltr</t>
  </si>
  <si>
    <t xml:space="preserve">UNPLACED</t>
  </si>
  <si>
    <t xml:space="preserve">B0HJ63XRSX</t>
  </si>
  <si>
    <t xml:space="preserve">AROMATICO Orange Massage Oil 300ml</t>
  </si>
  <si>
    <t xml:space="preserve">A-Orange-Msg-300ml</t>
  </si>
  <si>
    <t xml:space="preserve">B0HJ7ZQ7M9</t>
  </si>
  <si>
    <t xml:space="preserve">TMPE Sea Buckthorn Oil 30ml</t>
  </si>
  <si>
    <t xml:space="preserve">TMPE-Seabuckthorn-30ml</t>
  </si>
  <si>
    <t xml:space="preserve">B0HJ82LHR7</t>
  </si>
  <si>
    <t xml:space="preserve">TMPE Flaxseed Oil 30ml</t>
  </si>
  <si>
    <t xml:space="preserve">TMPE-Flaxseed-30ml</t>
  </si>
  <si>
    <t xml:space="preserve">B0HJ8JYVKL</t>
  </si>
  <si>
    <t xml:space="preserve">AYURVIDA Sandalwood &amp; Saffron Massage Oil 300ml</t>
  </si>
  <si>
    <t xml:space="preserve">Ayur-Sandalwood-Saffron-300ml</t>
  </si>
  <si>
    <t xml:space="preserve">B0HL99RY5S</t>
  </si>
  <si>
    <t xml:space="preserve">AROMATICO Citronella Diffuser Oil 1L</t>
  </si>
  <si>
    <t xml:space="preserve">A-Citronella-Diffuser-Oil-1L</t>
  </si>
  <si>
    <t xml:space="preserve">Total</t>
  </si>
  <si>
    <t xml:space="preserve">Destination state</t>
  </si>
  <si>
    <t xml:space="preserve">% of off-network demand</t>
  </si>
  <si>
    <t xml:space="preserve">Amazon FC units to the same state</t>
  </si>
  <si>
    <t xml:space="preserve">Top 3 FCs serving it</t>
  </si>
  <si>
    <t xml:space="preserve">ANDAMAN &amp; NICOBAR ISLANDS</t>
  </si>
  <si>
    <t xml:space="preserve">BLR8 1</t>
  </si>
  <si>
    <t xml:space="preserve">ANDHRA PRADESH</t>
  </si>
  <si>
    <t xml:space="preserve">HYD8 44, MAA4 26, HYD3 21</t>
  </si>
  <si>
    <t xml:space="preserve">ARUNACHAL PRADESH</t>
  </si>
  <si>
    <t xml:space="preserve">GAX1 2, NAX1 1</t>
  </si>
  <si>
    <t xml:space="preserve">ASSAM</t>
  </si>
  <si>
    <t xml:space="preserve">GAX1 32, AMD2 2, CCX1 2</t>
  </si>
  <si>
    <t xml:space="preserve">BIHAR</t>
  </si>
  <si>
    <t xml:space="preserve">CCX1 10, GAX1 10, LKO1 6</t>
  </si>
  <si>
    <t xml:space="preserve">CHANDIGARH</t>
  </si>
  <si>
    <t xml:space="preserve">ATX1 3, DED4 2, DEX3 2</t>
  </si>
  <si>
    <t xml:space="preserve">CHHATTISGARH</t>
  </si>
  <si>
    <t xml:space="preserve">NAX1 22, BOM7 7, HYD3 3</t>
  </si>
  <si>
    <t xml:space="preserve">DADRA AND NAGAR HAVELI AND DAMAN AND DIU</t>
  </si>
  <si>
    <t xml:space="preserve">BOM7 1, PNQ3 1</t>
  </si>
  <si>
    <t xml:space="preserve">DELHI</t>
  </si>
  <si>
    <t xml:space="preserve">DEL5 26, BLR8 24, DEX3 23</t>
  </si>
  <si>
    <t xml:space="preserve">GOA</t>
  </si>
  <si>
    <t xml:space="preserve">PNQ3 10, BLR7 7, BLR8 4</t>
  </si>
  <si>
    <t xml:space="preserve">GUJARAT</t>
  </si>
  <si>
    <t xml:space="preserve">AMD2 58, BOM7 23, PNQ3 19</t>
  </si>
  <si>
    <t xml:space="preserve">HARYANA</t>
  </si>
  <si>
    <t xml:space="preserve">LDX1 24, DEL4 12, BLR8 11</t>
  </si>
  <si>
    <t xml:space="preserve">HIMACHAL PRADESH</t>
  </si>
  <si>
    <t xml:space="preserve">LDX1 12, DED4 4, NAX1 4</t>
  </si>
  <si>
    <t xml:space="preserve">JAMMU &amp; KASHMIR</t>
  </si>
  <si>
    <t xml:space="preserve">LDX1 11, NAX1 7, DEL5 4</t>
  </si>
  <si>
    <t xml:space="preserve">JHARKHAND</t>
  </si>
  <si>
    <t xml:space="preserve">GAX1 9, LKO1 7, CCX1 5</t>
  </si>
  <si>
    <t xml:space="preserve">KARNATAKA</t>
  </si>
  <si>
    <t xml:space="preserve">BLR8 168, BLR7 93, MAA4 91</t>
  </si>
  <si>
    <t xml:space="preserve">KERALA</t>
  </si>
  <si>
    <t xml:space="preserve">CJB1 128, BLR8 47, MAA4 39</t>
  </si>
  <si>
    <t xml:space="preserve">MADHYA PRADESH</t>
  </si>
  <si>
    <t xml:space="preserve">AMD2 29, BOM7 18, NAX1 12</t>
  </si>
  <si>
    <t xml:space="preserve">MAHARASHTRA</t>
  </si>
  <si>
    <t xml:space="preserve">BOM7 194, PNQ3 188, BOM5 101</t>
  </si>
  <si>
    <t xml:space="preserve">MEGHALAYA</t>
  </si>
  <si>
    <t xml:space="preserve">GAX1 11, CCX1 2, LDX1 1</t>
  </si>
  <si>
    <t xml:space="preserve">MIZORAM</t>
  </si>
  <si>
    <t xml:space="preserve">GAX1 14, CCX1 1, DED4 1</t>
  </si>
  <si>
    <t xml:space="preserve">NAGALAND</t>
  </si>
  <si>
    <t xml:space="preserve">GAX1 7, CCX1 2, DEL5 1</t>
  </si>
  <si>
    <t xml:space="preserve">ODISHA</t>
  </si>
  <si>
    <t xml:space="preserve">HYD8 19, CCX1 14, GAX1 10</t>
  </si>
  <si>
    <t xml:space="preserve">PUDUCHERRY</t>
  </si>
  <si>
    <t xml:space="preserve">MAA4 8, BLR7 1, NAX1 1</t>
  </si>
  <si>
    <t xml:space="preserve">PUNJAB</t>
  </si>
  <si>
    <t xml:space="preserve">LDX1 46, DEL5 12, LKO1 12</t>
  </si>
  <si>
    <t xml:space="preserve">RAJASTHAN</t>
  </si>
  <si>
    <t xml:space="preserve">JPX2 17, LKO1 16, AMD2 15</t>
  </si>
  <si>
    <t xml:space="preserve">SIKKIM</t>
  </si>
  <si>
    <t xml:space="preserve">GAX1 2, BLR7 1</t>
  </si>
  <si>
    <t xml:space="preserve">TAMIL NADU</t>
  </si>
  <si>
    <t xml:space="preserve">MAA4 182, CJB1 69, BLR8 45</t>
  </si>
  <si>
    <t xml:space="preserve">TELANGANA</t>
  </si>
  <si>
    <t xml:space="preserve">HYD8 119, HYD3 80, NAX1 24</t>
  </si>
  <si>
    <t xml:space="preserve">TRIPURA</t>
  </si>
  <si>
    <t xml:space="preserve">GAX1 3, CCX1 1</t>
  </si>
  <si>
    <t xml:space="preserve">UTTAR PRADESH</t>
  </si>
  <si>
    <t xml:space="preserve">LKO1 69, DED4 25, LDX1 25</t>
  </si>
  <si>
    <t xml:space="preserve">UTTARAKHAND</t>
  </si>
  <si>
    <t xml:space="preserve">DEL5 7, DED4 6, DEX3 5</t>
  </si>
  <si>
    <t xml:space="preserve">WEST BENGAL</t>
  </si>
  <si>
    <t xml:space="preserve">GAX1 74, CCX1 51, LKO1 24</t>
  </si>
  <si>
    <t xml:space="preserve">WHY A DESTINATION RECEIVES LITTLE OR NOTHING</t>
  </si>
  <si>
    <t xml:space="preserve">Planned units</t>
  </si>
  <si>
    <t xml:space="preserve">Reason</t>
  </si>
  <si>
    <t xml:space="preserve">Receiving the full netted gap.</t>
  </si>
  <si>
    <t xml:space="preserve">Capacity capped - the plan was trimmed to fit the Capacity / Available Space limit.</t>
  </si>
  <si>
    <t xml:space="preserve">Capacity capped: sellable stock plus open inbound already meets or exceeds the stated Capacity Units, so no new units can be sent.</t>
  </si>
  <si>
    <t xml:space="preserve">IXD cross-dock - receives only the units the FC network could not accept.</t>
  </si>
  <si>
    <t xml:space="preserve">PNQ2</t>
  </si>
  <si>
    <t xml:space="preserve">Never carried our sales in the window - not a destination. (DEX8 and JPX1 have never appeared in our data at all.)</t>
  </si>
  <si>
    <t xml:space="preserve">DEL8</t>
  </si>
  <si>
    <t xml:space="preserve">DEL2</t>
  </si>
  <si>
    <t xml:space="preserve">DEX8</t>
  </si>
  <si>
    <t xml:space="preserve">JPX1</t>
  </si>
  <si>
    <t xml:space="preserve">Shipment ID</t>
  </si>
  <si>
    <t xml:space="preserve">Created</t>
  </si>
  <si>
    <t xml:space="preserve">Last updated</t>
  </si>
  <si>
    <t xml:space="preserve">Age (days)</t>
  </si>
  <si>
    <t xml:space="preserve">MSKUs</t>
  </si>
  <si>
    <t xml:space="preserve">Units expected</t>
  </si>
  <si>
    <t xml:space="preserve">Units located</t>
  </si>
  <si>
    <t xml:space="preserve">Units outstanding</t>
  </si>
  <si>
    <t xml:space="preserve">% received</t>
  </si>
  <si>
    <t xml:space="preserve">Workflow</t>
  </si>
  <si>
    <t xml:space="preserve">PO</t>
  </si>
  <si>
    <t xml:space="preserve">FBA15M838LFW</t>
  </si>
  <si>
    <t xml:space="preserve">Receiving</t>
  </si>
  <si>
    <t xml:space="preserve">2026-08-25</t>
  </si>
  <si>
    <t xml:space="preserve">2026-09-26</t>
  </si>
  <si>
    <t xml:space="preserve">SEND_TO_AMAZON</t>
  </si>
  <si>
    <t xml:space="preserve">3MQ4N4YL</t>
  </si>
  <si>
    <t xml:space="preserve">FBA15M83BQCR</t>
  </si>
  <si>
    <t xml:space="preserve">2026-09-20</t>
  </si>
  <si>
    <t xml:space="preserve">2TKG991Z</t>
  </si>
  <si>
    <t xml:space="preserve">FBA15M8D1G39</t>
  </si>
  <si>
    <t xml:space="preserve">In Transit</t>
  </si>
  <si>
    <t xml:space="preserve">2026-08-26</t>
  </si>
  <si>
    <t xml:space="preserve">2026-08-29</t>
  </si>
  <si>
    <t xml:space="preserve">4I2ZPFPH</t>
  </si>
  <si>
    <t xml:space="preserve">FBA15M8FVSM7</t>
  </si>
  <si>
    <t xml:space="preserve">2026-09-13</t>
  </si>
  <si>
    <t xml:space="preserve">4M4LGA9E</t>
  </si>
  <si>
    <t xml:space="preserve">FBA15M8FY0N7</t>
  </si>
  <si>
    <t xml:space="preserve">2026-09-12</t>
  </si>
  <si>
    <t xml:space="preserve">7PAR3X4P</t>
  </si>
  <si>
    <t xml:space="preserve">FBA15M8GGQKQ</t>
  </si>
  <si>
    <t xml:space="preserve">2026-09-17</t>
  </si>
  <si>
    <t xml:space="preserve">8QD4AX4R</t>
  </si>
  <si>
    <t xml:space="preserve">FBA15M9XCLTV</t>
  </si>
  <si>
    <t xml:space="preserve">2026-09-01</t>
  </si>
  <si>
    <t xml:space="preserve">2026-10-02</t>
  </si>
  <si>
    <t xml:space="preserve">4L2Q2WDY</t>
  </si>
  <si>
    <t xml:space="preserve">FBA15M9XKKSD</t>
  </si>
  <si>
    <t xml:space="preserve">2026-10-04</t>
  </si>
  <si>
    <t xml:space="preserve">597HLMKQ</t>
  </si>
  <si>
    <t xml:space="preserve">FBA15MB9CHJJ</t>
  </si>
  <si>
    <t xml:space="preserve">2026-09-02</t>
  </si>
  <si>
    <t xml:space="preserve">4AXHVCMF</t>
  </si>
  <si>
    <t xml:space="preserve">FBA15MBB9LZ0</t>
  </si>
  <si>
    <t xml:space="preserve">2026-09-27</t>
  </si>
  <si>
    <t xml:space="preserve">3VE3JHOV</t>
  </si>
  <si>
    <t xml:space="preserve">FBA15MBBCQVL</t>
  </si>
  <si>
    <t xml:space="preserve">8CRT7GFV</t>
  </si>
  <si>
    <t xml:space="preserve">FBA15MBBP5CB</t>
  </si>
  <si>
    <t xml:space="preserve">6EJZBNQA</t>
  </si>
  <si>
    <t xml:space="preserve">FBA15MBBX5V8</t>
  </si>
  <si>
    <t xml:space="preserve">2026-10-03</t>
  </si>
  <si>
    <t xml:space="preserve">1Q5DWOQD</t>
  </si>
  <si>
    <t xml:space="preserve">FBA15MBC67TL</t>
  </si>
  <si>
    <t xml:space="preserve">2026-09-15</t>
  </si>
  <si>
    <t xml:space="preserve">219XLUFZ</t>
  </si>
  <si>
    <t xml:space="preserve">FBA15MBCDFQM</t>
  </si>
  <si>
    <t xml:space="preserve">7FNBN4JL</t>
  </si>
  <si>
    <t xml:space="preserve">FBA15MBD8R1R</t>
  </si>
  <si>
    <t xml:space="preserve">1M35HFIY</t>
  </si>
  <si>
    <t xml:space="preserve">FBA15MDFJGS8</t>
  </si>
  <si>
    <t xml:space="preserve">2026-09-08</t>
  </si>
  <si>
    <t xml:space="preserve">8ZJANA2U</t>
  </si>
  <si>
    <t xml:space="preserve">FBA15MDFKMZV</t>
  </si>
  <si>
    <t xml:space="preserve">2026-10-05</t>
  </si>
  <si>
    <t xml:space="preserve">5VVNWLMY</t>
  </si>
  <si>
    <t xml:space="preserve">FBA15MDPLJGV</t>
  </si>
  <si>
    <t xml:space="preserve">2026-09-09</t>
  </si>
  <si>
    <t xml:space="preserve">4PDD972R</t>
  </si>
  <si>
    <t xml:space="preserve">FBA15MDQGXHV</t>
  </si>
  <si>
    <t xml:space="preserve">4T793GWZ</t>
  </si>
  <si>
    <t xml:space="preserve">FBA15MDQQTLX</t>
  </si>
  <si>
    <t xml:space="preserve">73JWNYWB</t>
  </si>
  <si>
    <t xml:space="preserve">FBA15MDT8JVN</t>
  </si>
  <si>
    <t xml:space="preserve">7G32YDCM</t>
  </si>
  <si>
    <t xml:space="preserve">FBA15MDVJFSJ</t>
  </si>
  <si>
    <t xml:space="preserve">5DR8UPFL</t>
  </si>
  <si>
    <t xml:space="preserve">FBA15MDW990N</t>
  </si>
  <si>
    <t xml:space="preserve">1RP58X1I</t>
  </si>
  <si>
    <t xml:space="preserve">FBA15MDWBGLV</t>
  </si>
  <si>
    <t xml:space="preserve">2026-10-01</t>
  </si>
  <si>
    <t xml:space="preserve">8HDGF5DU</t>
  </si>
  <si>
    <t xml:space="preserve">FBA15MDWM8TJ</t>
  </si>
  <si>
    <t xml:space="preserve">1HM6TN9N</t>
  </si>
  <si>
    <t xml:space="preserve">FBA15MDWZQDS</t>
  </si>
  <si>
    <t xml:space="preserve">Checked In</t>
  </si>
  <si>
    <t xml:space="preserve">2026-09-29</t>
  </si>
  <si>
    <t xml:space="preserve">8N9OYONJ</t>
  </si>
  <si>
    <t xml:space="preserve">FBA15MDX13FB</t>
  </si>
  <si>
    <t xml:space="preserve">31Y6INPC</t>
  </si>
  <si>
    <t xml:space="preserve">FBA15MDX4XZ5</t>
  </si>
  <si>
    <t xml:space="preserve">3W5SLY7S</t>
  </si>
  <si>
    <t xml:space="preserve">FBA15MDYC7L0</t>
  </si>
  <si>
    <t xml:space="preserve">5F21RR4S</t>
  </si>
  <si>
    <t xml:space="preserve">FBA15MDZ2887</t>
  </si>
  <si>
    <t xml:space="preserve">295TJ5EX</t>
  </si>
  <si>
    <t xml:space="preserve">FBA15MDZ7YW2</t>
  </si>
  <si>
    <t xml:space="preserve">3DXH4K3K</t>
  </si>
  <si>
    <t xml:space="preserve">FBA15MDZML0L</t>
  </si>
  <si>
    <t xml:space="preserve">2026-09-30</t>
  </si>
  <si>
    <t xml:space="preserve">4HOIVYSQ</t>
  </si>
  <si>
    <t xml:space="preserve">FBA15MF04DMM</t>
  </si>
  <si>
    <t xml:space="preserve">661PWJBS</t>
  </si>
  <si>
    <t xml:space="preserve">FBA15MF0BSPM</t>
  </si>
  <si>
    <t xml:space="preserve">79WKE2SP</t>
  </si>
  <si>
    <t xml:space="preserve">FBA15MF0H32G</t>
  </si>
  <si>
    <t xml:space="preserve">3EEIGK6N</t>
  </si>
  <si>
    <t xml:space="preserve">FBA15MF0R05J</t>
  </si>
  <si>
    <t xml:space="preserve">2026-09-28</t>
  </si>
  <si>
    <t xml:space="preserve">4WFSPXAZ</t>
  </si>
  <si>
    <t xml:space="preserve">FBA15MFDQV40</t>
  </si>
  <si>
    <t xml:space="preserve">2026-09-10</t>
  </si>
  <si>
    <t xml:space="preserve">15OQBJTJ</t>
  </si>
  <si>
    <t xml:space="preserve">FBA15MGF9DN9</t>
  </si>
  <si>
    <t xml:space="preserve">1H5F8O8G</t>
  </si>
  <si>
    <t xml:space="preserve">FBA15MGFJYV9</t>
  </si>
  <si>
    <t xml:space="preserve">2026-09-18</t>
  </si>
  <si>
    <t xml:space="preserve">5OIC1Z5R</t>
  </si>
  <si>
    <t xml:space="preserve">FBA15MGFV0KW</t>
  </si>
  <si>
    <t xml:space="preserve">2SG6ON9J</t>
  </si>
  <si>
    <t xml:space="preserve">FBA15MGFVFD9</t>
  </si>
  <si>
    <t xml:space="preserve">2WFX4MUF</t>
  </si>
  <si>
    <t xml:space="preserve">FBA15MGFVQPP</t>
  </si>
  <si>
    <t xml:space="preserve">3HG4AFQO</t>
  </si>
  <si>
    <t xml:space="preserve">FBA15MGFXX0S</t>
  </si>
  <si>
    <t xml:space="preserve">8FYWBTJP</t>
  </si>
  <si>
    <t xml:space="preserve">FBA15MGG2V47</t>
  </si>
  <si>
    <t xml:space="preserve">8BXMX7CJ</t>
  </si>
  <si>
    <t xml:space="preserve">FBA15MGJZD5N</t>
  </si>
  <si>
    <t xml:space="preserve">2026-09-16</t>
  </si>
  <si>
    <t xml:space="preserve">2026-09-19</t>
  </si>
  <si>
    <t xml:space="preserve">1A34BA4Y</t>
  </si>
  <si>
    <t xml:space="preserve">FBA15MGL2GPX</t>
  </si>
  <si>
    <t xml:space="preserve">62269W2V</t>
  </si>
  <si>
    <t xml:space="preserve">FBA15MGLBKQV</t>
  </si>
  <si>
    <t xml:space="preserve">8UIA5KWW</t>
  </si>
  <si>
    <t xml:space="preserve">FBA15MGLGVHB</t>
  </si>
  <si>
    <t xml:space="preserve">8TGQ7I3A</t>
  </si>
  <si>
    <t xml:space="preserve">FBA15MGLPQR9</t>
  </si>
  <si>
    <t xml:space="preserve">8I8SXRSK</t>
  </si>
  <si>
    <t xml:space="preserve">FBA15MGLY3R0</t>
  </si>
  <si>
    <t xml:space="preserve">72H56GYI</t>
  </si>
  <si>
    <t xml:space="preserve">FBA15MGM6L8Q</t>
  </si>
  <si>
    <t xml:space="preserve">7IDK3QMM</t>
  </si>
  <si>
    <t xml:space="preserve">FBA15MGM74Z3</t>
  </si>
  <si>
    <t xml:space="preserve">6LSJUHPD</t>
  </si>
  <si>
    <t xml:space="preserve">FBA15MGMBVFH</t>
  </si>
  <si>
    <t xml:space="preserve">71IYST9R</t>
  </si>
  <si>
    <t xml:space="preserve">FBA15MGRPJ5X</t>
  </si>
  <si>
    <t xml:space="preserve">6HZB19DB</t>
  </si>
  <si>
    <t xml:space="preserve">FBA15MGS43C1</t>
  </si>
  <si>
    <t xml:space="preserve">8XPJUDPN</t>
  </si>
  <si>
    <t xml:space="preserve">FBA15MLGQJ89</t>
  </si>
  <si>
    <t xml:space="preserve">86EHPZVQ</t>
  </si>
  <si>
    <t xml:space="preserve">FBA15MLGT8D0</t>
  </si>
  <si>
    <t xml:space="preserve">4ZSCLNZX</t>
  </si>
  <si>
    <t xml:space="preserve">FBA15MLHB0TY</t>
  </si>
  <si>
    <t xml:space="preserve">1D2ILSQC</t>
  </si>
  <si>
    <t xml:space="preserve">FBA15MLHFDP8</t>
  </si>
  <si>
    <t xml:space="preserve">3VK94OLV</t>
  </si>
  <si>
    <t xml:space="preserve">FBA15MLHL50C</t>
  </si>
  <si>
    <t xml:space="preserve">4GSRHUVV</t>
  </si>
  <si>
    <t xml:space="preserve">FBA15MLHSFG3</t>
  </si>
  <si>
    <t xml:space="preserve">3GEV7DOS</t>
  </si>
  <si>
    <t xml:space="preserve">FBA15MLHWWF7</t>
  </si>
  <si>
    <t xml:space="preserve">6GD2NGQU</t>
  </si>
  <si>
    <t xml:space="preserve">FBA15MLJ1QHH</t>
  </si>
  <si>
    <t xml:space="preserve">5G7DUM8X</t>
  </si>
  <si>
    <t xml:space="preserve">FBA15MLQ9XD8</t>
  </si>
  <si>
    <t xml:space="preserve">2HYJFTYL</t>
  </si>
  <si>
    <t xml:space="preserve">FBA15MLQ9Z7P</t>
  </si>
  <si>
    <t xml:space="preserve">4QIK5VPV</t>
  </si>
  <si>
    <t xml:space="preserve">FBA15MLQRBZG</t>
  </si>
  <si>
    <t xml:space="preserve">6M4N635C</t>
  </si>
  <si>
    <t xml:space="preserve">FBA15MLQS84C</t>
  </si>
  <si>
    <t xml:space="preserve">64JDJBXR</t>
  </si>
  <si>
    <t xml:space="preserve">FBA15MLQYKWG</t>
  </si>
  <si>
    <t xml:space="preserve">1MZA252F</t>
  </si>
  <si>
    <t xml:space="preserve">FBA15MLR2LWY</t>
  </si>
  <si>
    <t xml:space="preserve">51N4ONSG</t>
  </si>
  <si>
    <t xml:space="preserve">FBA15MLR6T0H</t>
  </si>
  <si>
    <t xml:space="preserve">3FIV47AN</t>
  </si>
  <si>
    <t xml:space="preserve">FBA15MLR6WS9</t>
  </si>
  <si>
    <t xml:space="preserve">5LZ5YNVY</t>
  </si>
  <si>
    <t xml:space="preserve">FBA15MLRNKCX</t>
  </si>
  <si>
    <t xml:space="preserve">7TU7F6TP</t>
  </si>
  <si>
    <t xml:space="preserve">FBA15MLRWWL4</t>
  </si>
  <si>
    <t xml:space="preserve">7XTMHY3U</t>
  </si>
  <si>
    <t xml:space="preserve">OUTSTANDING UNITS PER ASIN</t>
  </si>
  <si>
    <t xml:space="preserve">Open shipments</t>
  </si>
  <si>
    <t xml:space="preserve">Destination split</t>
  </si>
  <si>
    <t xml:space="preserve">DED3 275, DED5 262, CJB1 105, AMD2 101, MAA4 70, BLR8 50, PNQ3 42, ATX1 31, BOM5 30, CCX1 30, GAX1 29, DEL4 26, LDX1 22, NAX1 21, BOM7 20, HYD8 13, BLR7 10, LKO1 10, HYD3 2</t>
  </si>
  <si>
    <t xml:space="preserve">DED3 214, DED5 150, BLR8 127, HYD8 69, AMD2 59, CJB1 51, MAA4 49, DEX3 45, LDX1 41, ATX1 30, GAX1 28, LKO1 20, PNQ3 13, HYD3 10, JPX2 8, DEL4 5, BOM5 5, BOM7 4, BLR7 3, CCX1 2, DEL5 1</t>
  </si>
  <si>
    <t xml:space="preserve">DED3 179, DED5 153, CJB1 93, LDX1 92, BLR8 84, AMD2 26, HYD8 24, PNQ3 23, MAA4 19, GAX1 13, BOM5 10, HYD3 7, ATX1 4, JPX2 2, BOM7 1, DEL4 1, DEX3 1</t>
  </si>
  <si>
    <t xml:space="preserve">DED3 123, LDX1 77, DED5 56, AMD2 46, BLR8 39, PNQ3 29, HYD8 23, CJB1 22, MAA4 19, LKO1 16, BOM7 14, GAX1 10, JPX2 4, DEX3 2, ATX1 1, BOM5 1, DEL4 1</t>
  </si>
  <si>
    <t xml:space="preserve">DED3 97, DED5 56, BLR8 35, HYD8 31, AMD2 20, LDX1 20, MAA4 20, BOM7 18, CJB1 17, HYD3 12, GAX1 7, JPX2 5, LKO1 4, ATX1 2, DEX3 2, NAX1 2, BOM5 1, DEL4 1</t>
  </si>
  <si>
    <t xml:space="preserve">DED5 38, DED3 36, BOM7 29, GAX1 27, NAX1 22, LKO1 19, PNQ3 19, BLR7 18, MAA4 18, BOM5 17, ATX1 15, DEL4 12, CCX1 9, CJB1 6, BLR8 4, HYD8 2, AMD2 1, DEX3 1, JPX2 1, LDX1 1</t>
  </si>
  <si>
    <t xml:space="preserve">DED3 36, DED5 35, BOM7 33, GAX1 28, NAX1 20, LKO1 19, ATX1 15, BLR7 15, DEL4 15, AMD2 15, MAA4 14, BOM5 11, CCX1 6, PNQ3 5, BLR8 2, HYD3 2</t>
  </si>
  <si>
    <t xml:space="preserve">DED5 60, DED3 38, NAX1 21, CCX1 16, BLR7 15, GAX1 13, LKO1 12, DEL4 12, BOM7 10, PNQ3 10, BOM5 7, CJB1 7, AMD2 6, HYD8 6, BLR8 5, HYD3 3, ATX1 2, DEX3 1, JPX2 1, LDX1 1, MAA4 1</t>
  </si>
  <si>
    <t xml:space="preserve">DED3 116, HYD3 80, PNQ3 47</t>
  </si>
  <si>
    <t xml:space="preserve">BLR8 51, HYD8 42, DED5 39, BOM5 30, DED3 21, BOM7 9, LKO1 9, AMD2 9, DEL4 5, GAX1 4, LDX1 4, CJB1 3, MAA4 3, DEX3 1, JPX2 1, PNQ3 1</t>
  </si>
  <si>
    <t xml:space="preserve">DED5 23, DED3 22, DEL4 19, LKO1 16, BOM7 14, MAA4 14, NAX1 14, ATX1 13, AMD2 12, CCX1 11, GAX1 10, HYD3 10, PNQ3 10, BLR7 8, BOM5 7, BLR8 3, HYD8 2, CJB1 1, DEX3 1, JPX2 1, LDX1 1</t>
  </si>
  <si>
    <t xml:space="preserve">DED5 108, BOM5 25, DED3 20, GAX1 14, HYD8 7, LKO1 5, DEL4 4, AMD2 3, BLR8 3, BOM7 3, LDX1 3, PNQ3 2, HYD3 1, ATX1 1, CJB1 1, DEX3 1, JPX2 1, MAA4 1</t>
  </si>
  <si>
    <t xml:space="preserve">BOM7 33, BLR7 30, DED3 22, DED5 21, LKO1 14, DEL4 13, ATX1 10, CJB1 8, MAA4 7, BLR8 4, DEL5 1</t>
  </si>
  <si>
    <t xml:space="preserve">DED3 156, BOM5 7</t>
  </si>
  <si>
    <t xml:space="preserve">DED5 65, DEL4 17, BLR8 12, DED3 9, AMD2 7, BOM7 6, BOM5 4, HYD3 4, BLR7 4, ATX1 4, LDX1 3, LKO1 3, PNQ3 3, HYD8 2, CCX1 2, NAX1 2, CJB1 1, DEX3 1, GAX1 1, JPX2 1, MAA4 1</t>
  </si>
  <si>
    <t xml:space="preserve">AMD2 41, DED5 22, BOM7 18, DEL5 14, DED3 13, DEL4 11, LKO1 7, BLR8 6, BOM5 4, HYD8 3, HYD3 2, ATX1 1, CJB1 1, DEX3 1, GAX1 1, JPX2 1, LDX1 1, MAA4 1, PNQ3 1</t>
  </si>
  <si>
    <t xml:space="preserve">DED3 54, HYD8 16, BLR8 10, LKO1 10, GAX1 9, DED5 8, HYD3 8, AMD2 6, BOM7 5, CJB1 5, LDX1 5, MAA4 4, DEL4 2, BOM5 1, DEX3 1, JPX2 1</t>
  </si>
  <si>
    <t xml:space="preserve">DED5 35, BOM7 23, DED3 20, ATX1 10, DEL4 10, GAX1 10, BLR7 9, LKO1 9, NAX1 7, HYD3 4, PNQ3 3, BLR8 2</t>
  </si>
  <si>
    <t xml:space="preserve">BLR8 19, LKO1 17, NAX1 16, BOM7 15, BOM5 13, DEL4 11, GAX1 9, DED3 5, DED5 5, BLR7 5, LDX1 4, CCX1 3, AMD2 2, MAA4 2, PNQ3 2, DEL5 1</t>
  </si>
  <si>
    <t xml:space="preserve">DED5 23, DED3 20, BLR7 15, DEL4 14, AMD2 12, LKO1 9, BOM7 8, NAX1 6, BOM5 5, MAA4 4, PNQ3 4, HYD8 3, BLR8 2, HYD3 2</t>
  </si>
  <si>
    <t xml:space="preserve">DED5 23, AMD2 19, DEL4 13, BOM7 9, BOM5 7, DED3 6, BLR7 6, LKO1 4, MAA4 4, NAX1 4, PNQ3 4, GAX1 4, CJB1 3, HYD8 3, ATX1 3</t>
  </si>
  <si>
    <t xml:space="preserve">BLR8 14, DED5 11, DEX3 11, BOM5 8, GAX1 8, HYD8 7, LKO1 6, AMD2 6, LDX1 5, DEL5 4, MAA4 4, DEL4 4, BOM7 4, DED3 3, CJB1 3, HYD3 3, JPX2 3, ATX1 3, NAX1 2, BLR7 2, PNQ3 2</t>
  </si>
  <si>
    <t xml:space="preserve">DED3 112</t>
  </si>
  <si>
    <t xml:space="preserve">DED3 105</t>
  </si>
  <si>
    <t xml:space="preserve">BLR8 14, DED5 14, LKO1 13, BOM7 11, NAX1 10, MAA4 9, DED3 7, AMD2 7, BLR7 7, PNQ3 6</t>
  </si>
  <si>
    <t xml:space="preserve">DED3 93</t>
  </si>
  <si>
    <t xml:space="preserve">GAX1 16, DED3 12, BOM7 9, NAX1 8, LKO1 7, BLR7 6, HYD3 6, PNQ3 6, DEL4 5, DED5 5, BLR8 2, BOM5 1</t>
  </si>
  <si>
    <t xml:space="preserve">DED5 19, BOM5 16, LKO1 10, DED3 8, DEL4 6, CCX1 5, BLR8 4, GAX1 4, HYD8 2, AMD2 1, ATX1 1, BOM7 1, DEX3 1, JPX2 1, LDX1 1, MAA4 1, DED4 1</t>
  </si>
  <si>
    <t xml:space="preserve">DEL4 16, MAA4 10, BLR8 9, DED5 7, DED3 6, GAX1 5, BOM7 4, NAX1 4, DEL5 2, HYD8 2, BOM5 2, CJB1 2, LDX1 2, AMD2 1, ATX1 1, DEX3 1, JPX2 1, LKO1 1, PNQ3 1</t>
  </si>
  <si>
    <t xml:space="preserve">BOM7 17, LKO1 9, BLR8 8, DED5 7, GAX1 7, CCX1 6, DED3 3, HYD8 2, DEL4 2, AMD2 1, ATX1 1, BOM5 1, CJB1 1, DEX3 1, JPX2 1, LDX1 1, MAA4 1, PNQ3 1</t>
  </si>
  <si>
    <t xml:space="preserve">DED5 23, AMD2 20, BOM5 9, DEL4 6, DED3 3, LKO1 3, BLR8 2, MAA4 2</t>
  </si>
  <si>
    <t xml:space="preserve">DED3 67</t>
  </si>
  <si>
    <t xml:space="preserve">DED3 19, DED5 15, BOM5 4, HYD3 4, LKO1 4, DEL4 4, PNQ3 4, BLR8 3, ATX1 3, BLR7 2, BOM7 2, LDX1 2, HYD8 1</t>
  </si>
  <si>
    <t xml:space="preserve">GAX1 11, DED3 8, PNQ3 7, DED5 5, BLR8 5, BOM7 4, LKO1 4, MAA4 4, BOM5 3, NAX1 3, HYD8 2, BLR7 2, AMD2 1, CJB1 1, DEL4 1, DEX3 1, JPX2 1, LDX1 1</t>
  </si>
  <si>
    <t xml:space="preserve">DED3 9, BOM7 7, DEL4 6, DED5 5, GAX1 5, LKO1 5, BLR8 4, CCX1 3, HYD8 2, AMD2 2, BOM5 2, ATX1 1, CJB1 1, DEX3 1, JPX2 1, LDX1 1, MAA4 1, PNQ3 1</t>
  </si>
  <si>
    <t xml:space="preserve">BLR8 10, BOM7 10, DED5 10, LKO1 9, NAX1 8, PNQ3 6, DED3 4</t>
  </si>
  <si>
    <t xml:space="preserve">DED3 54</t>
  </si>
  <si>
    <t xml:space="preserve">GAX1 11, DEL4 11, DED5 8, DEL5 7, LKO1 7, DED3 4, BOM5 4</t>
  </si>
  <si>
    <t xml:space="preserve">DED5 27, BLR8 12, DEL4 3, BOM7 3, DEL5 2, AMD2 2, DEX3 1, BLR7 1</t>
  </si>
  <si>
    <t xml:space="preserve">HYD8 15, AMD2 5, GAX1 5, DEL4 4, LDX1 3, DED3 3, MAA4 3, DED5 2, BLR8 2, CJB1 2, BOM5 1, BOM7 1, DEX3 1, JPX2 1, LKO1 1, PNQ3 1</t>
  </si>
  <si>
    <t xml:space="preserve">GAX1 6, LKO1 6, DED3 5, AMD2 5, DED5 4, BLR8 4, BOM7 4, CCX1 4, HYD8 2, DEL4 2, BOM5 1, CJB1 1, DEX3 1, JPX2 1, LDX1 1, MAA4 1, PNQ3 1</t>
  </si>
  <si>
    <t xml:space="preserve">DED5 22, BLR8 16, DEL4 8, BLR7 2</t>
  </si>
  <si>
    <t xml:space="preserve">BOM7 8, LKO1 8, DED5 7, NAX1 7, PNQ3 6, DEL4 5, DED3 4, BLR8 2</t>
  </si>
  <si>
    <t xml:space="preserve">DED5 9, BLR8 5, HYD8 5, DEL4 4, ATX1 4, AMD2 3, LDX1 3, DED3 3, BOM5 2, BOM7 1, CJB1 1, DEX3 1, GAX1 1, JPX2 1, LKO1 1, MAA4 1, PNQ3 1</t>
  </si>
  <si>
    <t xml:space="preserve">DED5 5, BLR8 4, DEL5 4, GAX1 4, DEL4 3, LKO1 3, HYD3 3, HYD8 3, BOM7 3, AMD2 2, LDX1 2, CJB1 2, NAX1 2, BLR7 2, BOM5 1, MAA4 1, DEX3 1, PNQ3 1</t>
  </si>
  <si>
    <t xml:space="preserve">BLR8 17, DEL4 7, DED3 3, HYD8 2, DED5 2, AMD2 1, ATX1 1, BOM5 1, BOM7 1, CJB1 1, DEX3 1, GAX1 1, JPX2 1, LDX1 1, LKO1 1, MAA4 1, PNQ3 1</t>
  </si>
  <si>
    <t xml:space="preserve">DED5 38, DEL5 5</t>
  </si>
  <si>
    <t xml:space="preserve">DEL4 14, DEX3 4, DED3 3, MAA4 3, HYD8 2, DEL5 2, BLR7 2, DED5 1, AMD2 1, ATX1 1, BLR8 1, BOM5 1, BOM7 1, CJB1 1, GAX1 1, JPX2 1, LDX1 1, LKO1 1, PNQ3 1</t>
  </si>
  <si>
    <t xml:space="preserve">DED3 41</t>
  </si>
  <si>
    <t xml:space="preserve">BLR8 11, DEL4 7, DED3 4, LKO1 4, BOM5 2, HYD8 2, MAA4 2, DED5 1, AMD2 1, BOM7 1, CJB1 1, DEX3 1, GAX1 1, JPX2 1, LDX1 1, PNQ3 1</t>
  </si>
  <si>
    <t xml:space="preserve">GAX1 4, DED5 3, DEL4 3, LKO1 3, HYD8 3, ATX1 3, BOM7 3, AMD2 2, LDX1 2, CJB1 2, NAX1 2, DEL5 2, BLR7 2, JPX2 2, BOM5 1, MAA4 1, DEX3 1, HYD3 1, PNQ3 1</t>
  </si>
  <si>
    <t xml:space="preserve">AMD2 11, LKO1 11, NAX1 10, BLR8 4, DEL4 3</t>
  </si>
  <si>
    <t xml:space="preserve">BLR8 4, GAX1 4, DEL4 3, LKO1 3, ATX1 3, BOM7 3, AMD2 2, LDX1 2, CJB1 2, NAX1 2, BLR7 2, DED5 2, JPX2 2, BOM5 1, MAA4 1, DEX3 1, HYD3 1, PNQ3 1</t>
  </si>
  <si>
    <t xml:space="preserve">DED5 7, MAA4 6, HYD8 5, AMD2 4, DEL4 3, BLR7 2, BLR8 2, BOM7 2, GAX1 2, DEL5 2, JPX2 2, BOM5 1</t>
  </si>
  <si>
    <t xml:space="preserve">DED3 35</t>
  </si>
  <si>
    <t xml:space="preserve">BLR8 5, HYD8 5, DEL5 4, DED5 4, DED3 3, BOM5 2, AMD2 1, ATX1 1, BOM7 1, CJB1 1, DEL4 1, DEX3 1, GAX1 1, JPX2 1, LDX1 1, LKO1 1, MAA4 1, PNQ3 1</t>
  </si>
  <si>
    <t xml:space="preserve">BLR8 4, GAX1 4, DED5 3, DEL4 3, HYD8 3, ATX1 3, BOM7 3, AMD2 2, LDX1 2, CJB1 2, DEL5 2, BLR7 2, BOM5 1, MAA4 1</t>
  </si>
  <si>
    <t xml:space="preserve">AMD2 12, MAA4 8, BOM5 4, DEL5 2, BLR8 2, CJB1 2, DEL4 2, LKO1 2</t>
  </si>
  <si>
    <t xml:space="preserve">BOM7 19, AMD2 6, LKO1 6, DED3 2, HYD3 1</t>
  </si>
  <si>
    <t xml:space="preserve">B0GDTCJZNQ</t>
  </si>
  <si>
    <t xml:space="preserve">AROMATICO Sandalwood Diffuser Oil 30ml  [out of scope - no sales in the window]</t>
  </si>
  <si>
    <t xml:space="preserve">40639 c</t>
  </si>
  <si>
    <t xml:space="preserve">GAX1 4, DED5 3, DEL4 3, LKO1 3, HYD8 3, ATX1 3, AMD2 2, CJB1 2, NAX1 2, DEL5 2, JPX2 2, BOM5 1, MAA4 1, DEX3 1, HYD3 1, PNQ3 1</t>
  </si>
  <si>
    <t xml:space="preserve">HYD8 5, DED5 5, BOM7 4, DEL4 4, DED3 3, HYD3 3, BLR7 2, BLR8 2, CJB1 2, GAX1 2, BOM5 1</t>
  </si>
  <si>
    <t xml:space="preserve">DED3 33</t>
  </si>
  <si>
    <t xml:space="preserve">DED3 7, HYD8 4, DED5 3, BLR8 2, BOM5 2, BOM7 2, LDX1 2, LKO1 2, AMD2 1, ATX1 1, CJB1 1, DEX3 1, GAX1 1, JPX2 1, MAA4 1, PNQ3 1</t>
  </si>
  <si>
    <t xml:space="preserve">DED3 8, DEL4 5, HYD8 5, DED5 4, MAA4 2, LKO1 2, AMD2 1, ATX1 1, CJB1 1, DEX3 1, JPX2 1, PNQ3 1</t>
  </si>
  <si>
    <t xml:space="preserve">DED3 32</t>
  </si>
  <si>
    <t xml:space="preserve">LKO1 9, AMD2 7, MAA4 7, NAX1 7, BLR8 2</t>
  </si>
  <si>
    <t xml:space="preserve">DEL4 7, DED5 4, DED3 3, HYD8 2, BLR8 2, AMD2 1, ATX1 1, BOM5 1, BOM7 1, CJB1 1, DEX3 1, GAX1 1, JPX2 1, LDX1 1, LKO1 1, MAA4 1, PNQ3 1</t>
  </si>
  <si>
    <t xml:space="preserve">DED3 30</t>
  </si>
  <si>
    <t xml:space="preserve">BOM5 18, DEL4 8, AMD2 4</t>
  </si>
  <si>
    <t xml:space="preserve">HYD8 11, BLR8 4, DED5 3, DEL4 3, ATX1 3, AMD2 2, BLR7 2, MAA4 1</t>
  </si>
  <si>
    <t xml:space="preserve">DED5 18, LKO1 6, DED3 4</t>
  </si>
  <si>
    <t xml:space="preserve">ATX1 12, DED3 12, DED5 4</t>
  </si>
  <si>
    <t xml:space="preserve">DED3 5, HYD8 4, BLR8 3, DEL4 2, DED5 1, AMD2 1, ATX1 1, BOM5 1, BOM7 1, CJB1 1, DEX3 1, GAX1 1, JPX2 1, LDX1 1, LKO1 1, MAA4 1, PNQ3 1</t>
  </si>
  <si>
    <t xml:space="preserve">B0HDTGKTFX</t>
  </si>
  <si>
    <t xml:space="preserve">AROMATICO Moringa Oil 1L  [out of scope - no sales in the window]</t>
  </si>
  <si>
    <t xml:space="preserve">A-Moringa-Oil-1Ltr</t>
  </si>
  <si>
    <t xml:space="preserve">BLR8 4, GAX1 4, DEL4 3, HYD8 3, CJB1 2, NAX1 2, DEL5 2, JPX2 2, MAA4 1, DEX3 1, HYD3 1, DED3 1, PNQ3 1</t>
  </si>
  <si>
    <t xml:space="preserve">B0DGLFNCVJ</t>
  </si>
  <si>
    <t xml:space="preserve">AROMATICO Warm Vanilla Body Oil 200ml  [out of scope - no sales in the window]</t>
  </si>
  <si>
    <t xml:space="preserve">842398</t>
  </si>
  <si>
    <t xml:space="preserve">DEX3 11, DED5 3, DEL4 3, HYD8 3, BLR7 2, JPX2 2, BOM5 1, MAA4 1</t>
  </si>
  <si>
    <t xml:space="preserve">DED3 26</t>
  </si>
  <si>
    <t xml:space="preserve">ATX1 10, DED3 10, DED5 6</t>
  </si>
  <si>
    <t xml:space="preserve">BLR8 8, DED5 3, DEL4 3, HYD8 3, ATX1 3, AMD2 2, LDX1 2, BOM5 1</t>
  </si>
  <si>
    <t xml:space="preserve">ATX1 11, DED3 10, DED5 3</t>
  </si>
  <si>
    <t xml:space="preserve">AMD2 5, BLR8 5, DED3 4, DEL4 4, LKO1 2, DED5 1, BOM5 1, BOM7 1</t>
  </si>
  <si>
    <t xml:space="preserve">DED3 4, HYD8 2, DED5 2, BLR8 2, AMD2 1, ATX1 1, BOM5 1, BOM7 1, CJB1 1, DEL4 1, DEX3 1, GAX1 1, JPX2 1, LDX1 1, LKO1 1, MAA4 1, PNQ3 1</t>
  </si>
  <si>
    <t xml:space="preserve">ATX1 10, DED3 10, DED5 3</t>
  </si>
  <si>
    <t xml:space="preserve">BLR8 4, GAX1 4, DED5 3, DEL4 3, ATX1 3, AMD2 2, NAX1 2, BLR7 2</t>
  </si>
  <si>
    <t xml:space="preserve">BLR8 4, GAX1 4, DEL4 3, LKO1 3, AMD2 2, NAX1 2, JPX2 2, BOM5 1, MAA4 1</t>
  </si>
  <si>
    <t xml:space="preserve">DED3 3, HYD8 2, DED5 2, BOM5 2, AMD2 1, ATX1 1, BLR8 1, BOM7 1, CJB1 1, DEL4 1, DEX3 1, GAX1 1, JPX2 1, LDX1 1, LKO1 1, MAA4 1, PNQ3 1</t>
  </si>
  <si>
    <t xml:space="preserve">B0H2DD6RVZ</t>
  </si>
  <si>
    <t xml:space="preserve">CIRCADIAN CARE Bedtime Scalp and Hair Tonic 60ml  [out of scope - no sales in the window]</t>
  </si>
  <si>
    <t xml:space="preserve">CC-Bedtime-Scalp-Hair-Tonic-60ml</t>
  </si>
  <si>
    <t xml:space="preserve">DED3 5, HYD8 2, DED5 2, AMD2 1, ATX1 1, BLR8 1, BOM5 1, BOM7 1, CJB1 1, DEX3 1, GAX1 1, JPX2 1, LDX1 1, LKO1 1, MAA4 1, PNQ3 1</t>
  </si>
  <si>
    <t xml:space="preserve">ATX1 8, LKO1 6, DED3 4, DED5 2, BOM5 1</t>
  </si>
  <si>
    <t xml:space="preserve">BOM5 2, DED3 2, HYD8 2, BLR8 2, DEL4 2, DED5 1, AMD2 1, BOM7 1, CJB1 1, DEX3 1, GAX1 1, JPX2 1, LDX1 1, LKO1 1, MAA4 1, PNQ3 1</t>
  </si>
  <si>
    <t xml:space="preserve">DEL4 11, GAX1 4, BOM7 3, AMD2 2, MAA4 1, LKO1 1</t>
  </si>
  <si>
    <t xml:space="preserve">AMD2 10, BLR8 8, BOM7 3, PNQ3 1</t>
  </si>
  <si>
    <t xml:space="preserve">AMD2 15, DEL4 5, DED3 1</t>
  </si>
  <si>
    <t xml:space="preserve">DED3 4, HYD8 2, DED5 2, AMD2 1, ATX1 1, BLR8 1, BOM5 1, BOM7 1, CJB1 1, DEX3 1, GAX1 1, JPX2 1, LDX1 1, LKO1 1, MAA4 1, PNQ3 1</t>
  </si>
  <si>
    <t xml:space="preserve">B0HDPNP2G2</t>
  </si>
  <si>
    <t xml:space="preserve">INTIAID Rose Intimate Massage Oil 1L  [out of scope - no sales in the window]</t>
  </si>
  <si>
    <t xml:space="preserve">Intiaid-Rose-Intimate-1Ltr</t>
  </si>
  <si>
    <t xml:space="preserve">DED3 4, DED5 3, HYD8 1, AMD2 1, ATX1 1, BLR8 1, BOM5 1, BOM7 1, CJB1 1, DEX3 1, GAX1 1, JPX2 1, LDX1 1, LKO1 1, MAA4 1, PNQ3 1</t>
  </si>
  <si>
    <t xml:space="preserve">DED3 3, HYD8 2, DED5 2, AMD2 1, ATX1 1, BLR8 1, BOM5 1, BOM7 1, CJB1 1, DEL4 1, DEX3 1, GAX1 1, JPX2 1, LDX1 1, LKO1 1, MAA4 1, PNQ3 1</t>
  </si>
  <si>
    <t xml:space="preserve">B0DXFCCRGG</t>
  </si>
  <si>
    <t xml:space="preserve">INTIAID Curvy Care Oil 30ml  [out of scope - no sales in the window]</t>
  </si>
  <si>
    <t xml:space="preserve">GH-RTCC-OSQA</t>
  </si>
  <si>
    <t xml:space="preserve">DED3 3, HYD8 2, BLR8 2, DED5 1, AMD2 1, ATX1 1, BOM5 1, BOM7 1, CJB1 1, DEL4 1, DEX3 1, GAX1 1, JPX2 1, LDX1 1, LKO1 1, MAA4 1, PNQ3 1</t>
  </si>
  <si>
    <t xml:space="preserve">B0CW67FL64</t>
  </si>
  <si>
    <t xml:space="preserve">CUTIKLES Cuticle Oil Roll-On 10ml Pack of 6  [out of scope - no sales in the window]</t>
  </si>
  <si>
    <t xml:space="preserve">ChicNails60ML</t>
  </si>
  <si>
    <t xml:space="preserve">DED3 2, HYD8 2, BLR8 2, DEL4 2, DED5 1, AMD2 1, ATX1 1, BOM5 1, BOM7 1, CJB1 1, DEX3 1, GAX1 1, JPX2 1, LDX1 1, LKO1 1, MAA4 1, PNQ3 1</t>
  </si>
  <si>
    <t xml:space="preserve">B0DJ6Q5SPG</t>
  </si>
  <si>
    <t xml:space="preserve">AROMATICO Magnesium Oil Spray 200ml Pack of 2  [out of scope - no sales in the window]</t>
  </si>
  <si>
    <t xml:space="preserve">Magnesium- Pack2</t>
  </si>
  <si>
    <t xml:space="preserve">DED3 2, HYD8 2, BLR8 2, MAA4 2, DED5 1, AMD2 1, ATX1 1, BOM5 1, BOM7 1, CJB1 1, DEL4 1, DEX3 1, GAX1 1, JPX2 1, LDX1 1, LKO1 1, PNQ3 1</t>
  </si>
  <si>
    <t xml:space="preserve">B0C4699DP4</t>
  </si>
  <si>
    <t xml:space="preserve">TMPE Lemon Diffuser Oil 30ml  [out of scope - no sales in the window]</t>
  </si>
  <si>
    <t xml:space="preserve">lemondiffuseroil-30ML</t>
  </si>
  <si>
    <t xml:space="preserve">DED3 21</t>
  </si>
  <si>
    <t xml:space="preserve">B0CVN42TB4</t>
  </si>
  <si>
    <t xml:space="preserve">AROMATICO Jasmine Essential Oil 30ml  [out of scope - no sales in the window]</t>
  </si>
  <si>
    <t xml:space="preserve">40240</t>
  </si>
  <si>
    <t xml:space="preserve">B0CVQLL42W</t>
  </si>
  <si>
    <t xml:space="preserve">AROMATICO Jasmine Orange Diffuser Oil 1L  [out of scope - no sales in the window]</t>
  </si>
  <si>
    <t xml:space="preserve">40820</t>
  </si>
  <si>
    <t xml:space="preserve">B0CVQSRGCF</t>
  </si>
  <si>
    <t xml:space="preserve">AROMATICO Rosemary Diffuser Oil 500ml  [out of scope - no sales in the window]</t>
  </si>
  <si>
    <t xml:space="preserve">40769</t>
  </si>
  <si>
    <t xml:space="preserve">B0FFH6CGZ3</t>
  </si>
  <si>
    <t xml:space="preserve">AROMATICO Warm Vanilla Body Mist Spray 110ml  [out of scope - no sales in the window]</t>
  </si>
  <si>
    <t xml:space="preserve">02-0I6K-7057</t>
  </si>
  <si>
    <t xml:space="preserve">BLR8 4, DED5 3, DEL4 3, LKO1 3, HYD8 3, AMD2 2, BOM5 1, DEX3 1</t>
  </si>
  <si>
    <t xml:space="preserve">B0H9Z4YPZ5</t>
  </si>
  <si>
    <t xml:space="preserve">AROMATICO Sesame Massage Oil 300ml  [out of scope - no sales in the window]</t>
  </si>
  <si>
    <t xml:space="preserve">A-Sesame-massage-300ml</t>
  </si>
  <si>
    <t xml:space="preserve">BLR8 4, GAX1 4, HYD8 3, BOM7 3, LDX1 2, CJB1 2, NAX1 2, JPX2 2</t>
  </si>
  <si>
    <t xml:space="preserve">BOM7 4, DED5 3, BLR8 2, BOM5 1, DED3 1, HYD8 1, AMD2 1, DEL4 1, DEX3 1, GAX1 1, JPX2 1, LDX1 1, MAA4 1, PNQ3 1</t>
  </si>
  <si>
    <t xml:space="preserve">DED3 4, HYD8 2, DED5 2, AMD2 1, BLR8 1, BOM5 1, BOM7 1, CJB1 1, DEX3 1, GAX1 1, JPX2 1, LDX1 1, LKO1 1, MAA4 1, PNQ3 1</t>
  </si>
  <si>
    <t xml:space="preserve">BLR8 8, GAX1 4, LKO1 3, LDX1 2, CJB1 2, MAA4 1</t>
  </si>
  <si>
    <t xml:space="preserve">B0DRG37KRR</t>
  </si>
  <si>
    <t xml:space="preserve">INTIAID Intimate Oil for Men 30ml  [out of scope - no sales in the window]</t>
  </si>
  <si>
    <t xml:space="preserve">842985</t>
  </si>
  <si>
    <t xml:space="preserve">DED3 3, HYD8 2, DED5 1, AMD2 1, ATX1 1, BLR8 1, BOM5 1, BOM7 1, CJB1 1, DEL4 1, DEX3 1, GAX1 1, JPX2 1, LDX1 1, LKO1 1, MAA4 1, PNQ3 1</t>
  </si>
  <si>
    <t xml:space="preserve">DED3 2, HYD8 2, DEL4 2, DED5 1, AMD2 1, ATX1 1, BLR8 1, BOM5 1, BOM7 1, CJB1 1, DEX3 1, GAX1 1, JPX2 1, LDX1 1, LKO1 1, MAA4 1, PNQ3 1</t>
  </si>
  <si>
    <t xml:space="preserve">DED5 20</t>
  </si>
  <si>
    <t xml:space="preserve">ATX1 20</t>
  </si>
  <si>
    <t xml:space="preserve">DEL4 7, HYD8 4, BOM5 2, DEX3 1, DED5 1, AMD2 1, BLR8 1, PNQ3 1</t>
  </si>
  <si>
    <t xml:space="preserve">BLR8 4, DED5 3, DEL4 3, HYD8 3, AMD2 2, BLR7 2, DEX3 1</t>
  </si>
  <si>
    <t xml:space="preserve">ATX1 10, LKO1 7, DED3 1</t>
  </si>
  <si>
    <t xml:space="preserve">LKO1 8, DED3 6, DED5 3</t>
  </si>
  <si>
    <t xml:space="preserve">B0CVQD8CBX</t>
  </si>
  <si>
    <t xml:space="preserve">AROMATICO Jasmine Orange Diffuser Oil 500ml  [out of scope - no sales in the window]</t>
  </si>
  <si>
    <t xml:space="preserve">40684</t>
  </si>
  <si>
    <t xml:space="preserve">BLR8 4, DEL4 3, HYD8 3, AMD2 2, CJB1 2, NAX1 2, BOM5 1</t>
  </si>
  <si>
    <t xml:space="preserve">DED5 3, HYD8 1, AMD2 1, ATX1 1, BLR8 1, BOM5 1, BOM7 1, CJB1 1, DEX3 1, GAX1 1, JPX2 1, LDX1 1, LKO1 1, MAA4 1, PNQ3 1</t>
  </si>
  <si>
    <t xml:space="preserve">ATX1 17</t>
  </si>
  <si>
    <t xml:space="preserve">AMD2 7, DED3 6, DED5 3</t>
  </si>
  <si>
    <t xml:space="preserve">ATX1 12, DED5 4</t>
  </si>
  <si>
    <t xml:space="preserve">BLR8 2, DEL4 2, AMD2 1, ATX1 1, BOM5 1, BOM7 1, CJB1 1, DEX3 1, GAX1 1, JPX2 1, LDX1 1, LKO1 1, MAA4 1, PNQ3 1</t>
  </si>
  <si>
    <t xml:space="preserve">B0HF56QVHN</t>
  </si>
  <si>
    <t xml:space="preserve">TMPE Grapeseed Oil 30ml  [out of scope - no sales in the window]</t>
  </si>
  <si>
    <t xml:space="preserve">TMPE-Grapeseed-30ml</t>
  </si>
  <si>
    <t xml:space="preserve">ATX1 16</t>
  </si>
  <si>
    <t xml:space="preserve">DED5 7, BOM5 5, NAX1 4</t>
  </si>
  <si>
    <t xml:space="preserve">DED5 7, BOM7 3, AMD2 2, LDX1 2, BOM5 1</t>
  </si>
  <si>
    <t xml:space="preserve">DED5 6, DEL5 5, PNQ3 4</t>
  </si>
  <si>
    <t xml:space="preserve">DEL4 6, DEL5 4, HYD8 3, BOM5 1, MAA4 1</t>
  </si>
  <si>
    <t xml:space="preserve">DED5 3, DEL4 3, HYD8 3, AMD2 2, NAX1 2, DEL5 2</t>
  </si>
  <si>
    <t xml:space="preserve">BLR8 8, BLR7 7</t>
  </si>
  <si>
    <t xml:space="preserve">DED3 6, DEL4 5, DED5 3</t>
  </si>
  <si>
    <t xml:space="preserve">BLR8 4, GAX1 4, DEL4 3, AMD2 2, JPX2 2</t>
  </si>
  <si>
    <t xml:space="preserve">BLR8 4, DED5 3, DEL4 3, HYD8 3, BOM5 1</t>
  </si>
  <si>
    <t xml:space="preserve">BLR8 4, GAX1 4, DEL4 3, AMD2 2, BOM5 1</t>
  </si>
  <si>
    <t xml:space="preserve">BLR8 4, DEL4 3, AMD2 2, LDX1 2, BOM5 1, DEX3 1</t>
  </si>
  <si>
    <t xml:space="preserve">LKO1 8, AMD2 6</t>
  </si>
  <si>
    <t xml:space="preserve">LKO1 6, DED3 4, DED5 2, BOM5 1</t>
  </si>
  <si>
    <t xml:space="preserve">LDX1 6, DEL4 6, CJB1 2</t>
  </si>
  <si>
    <t xml:space="preserve">BLR8 4, DEL4 3, HYD8 3, AMD2 2, BOM5 1</t>
  </si>
  <si>
    <t xml:space="preserve">DED3 9, DED5 3, BOM5 1</t>
  </si>
  <si>
    <t xml:space="preserve">DED5 4, HYD8 3, DEL5 2, BLR7 2, BOM5 1, PNQ3 1</t>
  </si>
  <si>
    <t xml:space="preserve">BLR7 12</t>
  </si>
  <si>
    <t xml:space="preserve">DED5 12</t>
  </si>
  <si>
    <t xml:space="preserve">ATX1 12</t>
  </si>
  <si>
    <t xml:space="preserve">BLR7 6, DED3 2, LKO1 2, BOM5 1</t>
  </si>
  <si>
    <t xml:space="preserve">BLR8 4, DEL4 3, HYD8 3, BOM5 1</t>
  </si>
  <si>
    <t xml:space="preserve">DED3 6, DED5 2, CJB1 1, DEL4 1</t>
  </si>
  <si>
    <t xml:space="preserve">DEL4 8, NAX1 2</t>
  </si>
  <si>
    <t xml:space="preserve">DED3 6, DED5 2, BOM5 1</t>
  </si>
  <si>
    <t xml:space="preserve">ATX1 10</t>
  </si>
  <si>
    <t xml:space="preserve">B0FL29MFW5</t>
  </si>
  <si>
    <t xml:space="preserve">AROMATICO Sesame Seed Oil 100ml  [out of scope - no sales in the window]</t>
  </si>
  <si>
    <t xml:space="preserve">SO-RTZ8-A73R</t>
  </si>
  <si>
    <t xml:space="preserve">DED3 6, DED5 3</t>
  </si>
  <si>
    <t xml:space="preserve">B0HF52RZ7B</t>
  </si>
  <si>
    <t xml:space="preserve">TMPE Fractionated Coconut Oil 30ml  [out of scope - no sales in the window]</t>
  </si>
  <si>
    <t xml:space="preserve">TMPE-Fractionated-Coconut-30ml</t>
  </si>
  <si>
    <t xml:space="preserve">DED3 7, DED4 2</t>
  </si>
  <si>
    <t xml:space="preserve">B0FD3DWRV1</t>
  </si>
  <si>
    <t xml:space="preserve">AROMATICO Warm Vanilla Body Oil 100ml  [out of scope - no sales in the window]</t>
  </si>
  <si>
    <t xml:space="preserve">A-bodyoilVanilla-100ml</t>
  </si>
  <si>
    <t xml:space="preserve">DED5 9</t>
  </si>
  <si>
    <t xml:space="preserve">DED3 6, DED5 2</t>
  </si>
  <si>
    <t xml:space="preserve">DED3 1, HYD8 1, DED5 1, AMD2 1, BLR8 1, BOM7 1, CJB1 1, DEL4 1</t>
  </si>
  <si>
    <t xml:space="preserve">DEL4 8</t>
  </si>
  <si>
    <t xml:space="preserve">B0HJ5WBF6J</t>
  </si>
  <si>
    <t xml:space="preserve">AROMATICO Orange Massage Oil 1L  [out of scope - no sales in the window]</t>
  </si>
  <si>
    <t xml:space="preserve">A-Orange-Msg-1Ltr</t>
  </si>
  <si>
    <t xml:space="preserve">AMD2 8</t>
  </si>
  <si>
    <t xml:space="preserve">B0HJDG3GMY</t>
  </si>
  <si>
    <t xml:space="preserve">AROMATICO Rosemary Hair Spray 200ml  [out of scope - no sales in the window]</t>
  </si>
  <si>
    <t xml:space="preserve">A-Rosemarywater-mist-200ml</t>
  </si>
  <si>
    <t xml:space="preserve">ATX1 8</t>
  </si>
  <si>
    <t xml:space="preserve">ATX1 7, DED3 1</t>
  </si>
  <si>
    <t xml:space="preserve">BOM5 3, CJB1 2, MAA4 2</t>
  </si>
  <si>
    <t xml:space="preserve">B0CVQNLKJD</t>
  </si>
  <si>
    <t xml:space="preserve">AROMATICO Eucalyptus Diffuser Oil 500ml  [out of scope - no sales in the window]</t>
  </si>
  <si>
    <t xml:space="preserve">40660</t>
  </si>
  <si>
    <t xml:space="preserve">DEL4 6, BLR7 2</t>
  </si>
  <si>
    <t xml:space="preserve">GAX1 7</t>
  </si>
  <si>
    <t xml:space="preserve">DEL4 7</t>
  </si>
  <si>
    <t xml:space="preserve">ATX1 7</t>
  </si>
  <si>
    <t xml:space="preserve">GAX1 4, DEL4 3</t>
  </si>
  <si>
    <t xml:space="preserve">DED3 4, DED5 2</t>
  </si>
  <si>
    <t xml:space="preserve">BLR7 6</t>
  </si>
  <si>
    <t xml:space="preserve">DED3 5</t>
  </si>
  <si>
    <t xml:space="preserve">B0CW79WBP7</t>
  </si>
  <si>
    <t xml:space="preserve">CUTIKLES Anti-Fungal Nail Repair Serum 30ml Pack of 3  [out of scope - no sales in the window]</t>
  </si>
  <si>
    <t xml:space="preserve">Nail Repair-3</t>
  </si>
  <si>
    <t xml:space="preserve">DED5 5</t>
  </si>
  <si>
    <t xml:space="preserve">BLR7 5</t>
  </si>
  <si>
    <t xml:space="preserve">B0H7CBYC5V</t>
  </si>
  <si>
    <t xml:space="preserve">AYURVIDA Rosemary Hair Oil 200ml  [out of scope - no sales in the window]</t>
  </si>
  <si>
    <t xml:space="preserve">Ayurvida-Rosemary-200ml</t>
  </si>
  <si>
    <t xml:space="preserve">AMD2 5</t>
  </si>
  <si>
    <t xml:space="preserve">B0HF57JP23</t>
  </si>
  <si>
    <t xml:space="preserve">TMPE Sesame Seed Oil 30ml  [out of scope - no sales in the window]</t>
  </si>
  <si>
    <t xml:space="preserve">TMPE-Sesame-Seed-30ml</t>
  </si>
  <si>
    <t xml:space="preserve">DEL4 3, BOM5 1</t>
  </si>
  <si>
    <t xml:space="preserve">BLR8 2, MAA4 2</t>
  </si>
  <si>
    <t xml:space="preserve">B0DH38Q4HT</t>
  </si>
  <si>
    <t xml:space="preserve">AROMATICO Honey &amp; Almond Body Oil Mist 200ml  [out of scope - no sales in the window]</t>
  </si>
  <si>
    <t xml:space="preserve">842466</t>
  </si>
  <si>
    <t xml:space="preserve">DED5 4</t>
  </si>
  <si>
    <t xml:space="preserve">GAX1 4</t>
  </si>
  <si>
    <t xml:space="preserve">B0HJ5KZFYH</t>
  </si>
  <si>
    <t xml:space="preserve">AROMATICO Sea Buckthorn Oil 100ml  [out of scope - no sales in the window]</t>
  </si>
  <si>
    <t xml:space="preserve">A-Seabuckthorn-oil-100ml</t>
  </si>
  <si>
    <t xml:space="preserve">AMD2 4</t>
  </si>
  <si>
    <t xml:space="preserve">DED3 3</t>
  </si>
  <si>
    <t xml:space="preserve">B0DN9RW4PK</t>
  </si>
  <si>
    <t xml:space="preserve">TMPE Mango &amp; Coconut Body Lotion 200ml  [out of scope - no sales in the window]</t>
  </si>
  <si>
    <t xml:space="preserve">842824</t>
  </si>
  <si>
    <t xml:space="preserve">DED3 1, HYD8 1, DED5 1</t>
  </si>
  <si>
    <t xml:space="preserve">DED5 3</t>
  </si>
  <si>
    <t xml:space="preserve">B0CL6LXSZ9</t>
  </si>
  <si>
    <t xml:space="preserve">CUTIKLES Cuticle Oil Roll-On 10ml  [out of scope - no sales in the window]</t>
  </si>
  <si>
    <t xml:space="preserve">CU-CUOIL10ML-1</t>
  </si>
  <si>
    <t xml:space="preserve">DEL4 3</t>
  </si>
  <si>
    <t xml:space="preserve">B0CV45J3PH</t>
  </si>
  <si>
    <t xml:space="preserve">CUTIKLES Cuticle Remover 30ml Pack of 2  [out of scope - no sales in the window]</t>
  </si>
  <si>
    <t xml:space="preserve">Cuticle Remover</t>
  </si>
  <si>
    <t xml:space="preserve">DED3 1, LKO1 1</t>
  </si>
  <si>
    <t xml:space="preserve">B0CWVHZ717</t>
  </si>
  <si>
    <t xml:space="preserve">TMPE Jasmine Diffuser Oil 500ml  [out of scope - no sales in the window]</t>
  </si>
  <si>
    <t xml:space="preserve">841667</t>
  </si>
  <si>
    <t xml:space="preserve">DED5 1, DEL4 1</t>
  </si>
  <si>
    <t xml:space="preserve">HYD3 2</t>
  </si>
  <si>
    <t xml:space="preserve">DED3 2</t>
  </si>
  <si>
    <t xml:space="preserve">B0CL4H524T</t>
  </si>
  <si>
    <t xml:space="preserve">AROMATICO Sandalwood Essential Oil 10ml  [out of scope - no sales in the window]</t>
  </si>
  <si>
    <t xml:space="preserve">ARO-ESOILSAND10ML-1</t>
  </si>
  <si>
    <t xml:space="preserve">BOM5 1</t>
  </si>
  <si>
    <t xml:space="preserve">B0FD3FS3DW</t>
  </si>
  <si>
    <t xml:space="preserve">AROMATICO Citrus Fresh Body Oil Mist 100ml  [out of scope - no sales in the window]</t>
  </si>
  <si>
    <t xml:space="preserve">A-bodyoilmist-citus100ml</t>
  </si>
  <si>
    <t xml:space="preserve">DEL4 1</t>
  </si>
  <si>
    <t xml:space="preserve">FC SHIPMENT PLAN - METHOD &amp; ASSUMPTIONS</t>
  </si>
  <si>
    <t xml:space="preserve">Seller</t>
  </si>
  <si>
    <t xml:space="preserve">AFRIYANA INDIA PRIVATE LIMITED, Amazon.in</t>
  </si>
  <si>
    <t xml:space="preserve">Built</t>
  </si>
  <si>
    <t xml:space="preserve">5 October 2026 (unattended scheduled run)</t>
  </si>
  <si>
    <t xml:space="preserve">1. DATA SOURCES AND WINDOW</t>
  </si>
  <si>
    <t xml:space="preserve">Report 1 - Inventory Ledger</t>
  </si>
  <si>
    <t xml:space="preserve">Fulfilment Reports &gt; Inventory Ledger &gt; Download. Summary view, location = Fulfilment centre, aggregate = Daily, Exact dates 15/09/2026 - 04/10/2026, .csv. Exact dates took the scripted entry, so no fallback to "Last 30 days" was needed.</t>
  </si>
  <si>
    <t xml:space="preserve">Settled days used</t>
  </si>
  <si>
    <t xml:space="preserve">19 Sep 2026 to 3 Oct 2026 inclusive - 15 full settled days. Amazon returned data only to 3 Oct (4 Oct had not landed), so the window was extended backwards rather than padded with a partial day. The last day (3 Oct, 512 customer-shipment units) sits above the 15-day mean of 390, so it is settled, not partial. All daily rates divide by 15.</t>
  </si>
  <si>
    <t xml:space="preserve">Report 2 - Amazon Fulfilled Shipments</t>
  </si>
  <si>
    <t xml:space="preserve">Same 15-day window, Exact dates, .csv. Buyer PII never left the browser: FC x state and FC x state x MSKU aggregates were computed in-page and only those aggregates were extracted. NOTE: the column layout has shifted by one since the task file was written - Shipment Date is now col 9, Merchant SKU col 14, Shipped Quantity col 16, Shipping State col 30, FC col 46 (the file quoted 8/13/15/29/45).</t>
  </si>
  <si>
    <t xml:space="preserve">Cross-check</t>
  </si>
  <si>
    <t xml:space="preserve">Report 2 window total = 5,849 units. Report 1 customer-shipment total = 5,849 units. Exact agreement.</t>
  </si>
  <si>
    <t xml:space="preserve">Report 3 - Open inbound</t>
  </si>
  <si>
    <t xml:space="preserve">listShipments + per-shipment eligibilities JSON APIs, fetched in batches of 8. Statuses kept: IN_TRANSIT, CHECKED_IN, RECEIVING. 74 open shipments.</t>
  </si>
  <si>
    <t xml:space="preserve">2. SAMPLING EXCLUSIONS</t>
  </si>
  <si>
    <t xml:space="preserve">Rule applied (21 Aug 2026)</t>
  </si>
  <si>
    <t xml:space="preserve">100 units of each of the five sampling ASINs (B0H11QZXVC, B0FP9K4MGR, B0D4QRCB9T, B0GZPZLV8M, B0CVND98DQ), 500 in total, removable only from customer shipments dated 7-10 August 2026.</t>
  </si>
  <si>
    <t xml:space="preserve">Units actually excluded this run</t>
  </si>
  <si>
    <t xml:space="preserve">ZERO. The settled window (19 Sep - 3 Oct 2026) does not overlap 7-10 Aug 2026 at all, so no units are removable. The rule is explicit that nothing may be taken from a substitute date range, and nothing was. No sampling adjustment has been applied to Report 1 or Report 2 figures.</t>
  </si>
  <si>
    <t xml:space="preserve">Raw daily cube kept</t>
  </si>
  <si>
    <t xml:space="preserve">The raw ASIN x date x location cube for the five sampling ASINs over the full 15-day window was captured so an exclusion rule can be re-applied later without re-pulling.</t>
  </si>
  <si>
    <t xml:space="preserve">3. CONFIRMATIONS NOT TAKEN (unattended run)</t>
  </si>
  <si>
    <t xml:space="preserve">Carried forward without confirmation</t>
  </si>
  <si>
    <t xml:space="preserve">  - Sampling figures</t>
  </si>
  <si>
    <t xml:space="preserve">100 units each / 500 total, dates 7-10 Aug 2026, and the five-ASIN list were carried forward unchanged. Nobody was available to confirm them, or to say whether a new sampling ASIN has been added. Moot this run, since zero units were removable.</t>
  </si>
  <si>
    <t xml:space="preserve">  - Capacity file</t>
  </si>
  <si>
    <t xml:space="preserve">The FC capacity table is the one supplied on 21 Aug 2026 and quoted in the task file. No "FC Wise capacity.xlsx" was present in the working folder, so it could not be refreshed. Available Space moves weekly, so these figures are up to six weeks stale - please resend.</t>
  </si>
  <si>
    <t xml:space="preserve">4. REGIONAL DEMAND MODEL</t>
  </si>
  <si>
    <t xml:space="preserve">VTNF</t>
  </si>
  <si>
    <t xml:space="preserve">Our own Seller Flex warehouse in Gurgaon, not an Amazon FC. It serves orders nationwide when FC stock runs out, so its demand is NOT spread on the national FC mix. VTNF sold 1901 units in the window (33% of all units).</t>
  </si>
  <si>
    <t xml:space="preserve">Off-network micro-nodes (choice made unattended)</t>
  </si>
  <si>
    <t xml:space="preserve">Eleven small non-FBA nodes (CCX2, FBLF, FBLJ, FBLL, FCCB, FDLB, FHYE, SBLY, SBLZ, SHYJ, SHYR) sold 68 units between them. None appears in the capacity table and Send to Amazon cannot target them, so they are treated exactly like VTNF: non-plannable, with their units routed through the state map rather than left as destinations. This is a judgement call made without the user; it moves ~1.2% of volume.</t>
  </si>
  <si>
    <t xml:space="preserve">State to FC service map</t>
  </si>
  <si>
    <t xml:space="preserve">Built from non-VTNF, non-micro rows of Report 2: for each shipping state, the share of that state's units each FC served. 33 clean destination states after normalising abbreviations (MH/GJ/TN/UP/PB/TG/JK/KA/AP/BR/WB/DL/HR/RJ/JH/MP/CH, "New delhi", "Tamilnadu", "Chattisgarh", "Goa India", "Daman &amp; Diu" and "Dadra &amp; Nagar Haveli" merged into their parent states).</t>
  </si>
  <si>
    <t xml:space="preserve">Routing</t>
  </si>
  <si>
    <t xml:space="preserve">Each VTNF / off-network unit is pushed through the map on its Shipping State. States with no non-VTNF history fall back to the pooled state map, then to the national FC mix. Every state had FC history this run.</t>
  </si>
  <si>
    <t xml:space="preserve">Per-ASIN vs pooled</t>
  </si>
  <si>
    <t xml:space="preserve">38 ASINs shipped 15 or more units from VTNF and are routed on their own VTNF state mix. Every other ASIN uses the pooled mix.</t>
  </si>
  <si>
    <t xml:space="preserve">Sub-half-unit crumbs</t>
  </si>
  <si>
    <t xml:space="preserve">Routed fractions below 0.5 units per ASIN x FC were dropped and the rest rescaled so each ASIN's routed total still equals its exact VTNF / off-network units. A crumb under half a unit can never clear the 6-unit target threshold, so this changes no line.</t>
  </si>
  <si>
    <t xml:space="preserve">Fair share for thin ASINs</t>
  </si>
  <si>
    <t xml:space="preserve">An ASIN with fewer than 3 units of its own Amazon-FC sales has too little history to pick FCs from, so its whole effective demand is spread on the pooled mix instead of its own sparse pattern.</t>
  </si>
  <si>
    <t xml:space="preserve">Observed Amazon FC sales + routed VTNF / off-network units.</t>
  </si>
  <si>
    <t xml:space="preserve">5. TARGETS, GAPS AND LINE RULES</t>
  </si>
  <si>
    <t xml:space="preserve">Cover target</t>
  </si>
  <si>
    <t xml:space="preserve">45 days. FC target = effective FC demand / 15 x 45.</t>
  </si>
  <si>
    <t xml:space="preserve">FC target minus current SELLABLE stock at that FC on 3 Oct 2026, floored at zero.</t>
  </si>
  <si>
    <t xml:space="preserve">Inbound netting</t>
  </si>
  <si>
    <t xml:space="preserve">Each ASIN's outstanding open-inbound units are credited against its total gross gap at ASIN level (not pinned to DED3/DED5), and the remaining need is scaled pro-rata across the FCs still showing a gap. 11,274 units were available to credit across the in-scope ASINs; 9,459 units were actually absorbed.</t>
  </si>
  <si>
    <t xml:space="preserve">Line rules</t>
  </si>
  <si>
    <t xml:space="preserve">Minimum 2 units per ASIN x FC line; a line is only opened where the 45-day target is 6 units or more. 1,035 units of net gap across 595 ASIN x FC combinations sat under that threshold and were deliberately not actioned.</t>
  </si>
  <si>
    <t xml:space="preserve">Total planned shipment (FC lines + IXD overflow) minus VTNF stock, floored at zero. Flagged PROCURE on the ASIN Summary tab.</t>
  </si>
  <si>
    <t xml:space="preserve">Cover basis</t>
  </si>
  <si>
    <t xml:space="preserve">Cover on the FC tabs is measured against EFFECTIVE demand (observed FC sales plus routed VTNF), because that is what the plan is sized to. "Units sold (observed)" is kept as a separate raw column so the two are never confused.</t>
  </si>
  <si>
    <t xml:space="preserve">Scope</t>
  </si>
  <si>
    <t xml:space="preserve">Every ASIN with at least one unit sold in the window: 241 ASINs. VTNF stock is treated as ZERO for supply purposes and is never a constraint; it is used only to compute To Procure.</t>
  </si>
  <si>
    <t xml:space="preserve">Destinations</t>
  </si>
  <si>
    <t xml:space="preserve">21 Amazon FCs with sales in the window and a capacity record. PNQ2 holds stock but sold nothing in the window, so it is not a destination. DEL8, DEL2, DEX8 and JPX1 have never carried our stock or sales. Amazon assigns destination FCs through Send to Amazon, so we cannot direct stock to a new FC.</t>
  </si>
  <si>
    <t xml:space="preserve">6. CAPACITY CONSTRAINT</t>
  </si>
  <si>
    <t xml:space="preserve">Rule</t>
  </si>
  <si>
    <t xml:space="preserve">Per FC: current sellable stock + already inbound + planned shipment &lt;= Capacity Units, AND planned shipment &lt;= Available Space. The tighter of the two binds. Applied after inbound netting and the line-minimum rules.</t>
  </si>
  <si>
    <t xml:space="preserve">Inbound used in the test</t>
  </si>
  <si>
    <t xml:space="preserve">ACTUAL outstanding inbound per destination, taken from the per-shipment destinations captured in Report 3, rather than each ASIN's credited inbound spread pro-rata. The task file describes the pro-rata spread; now that destinations are captured per shipment the actual split is both available and more accurate, and it is what the IXD headroom derivation already uses. Noted as a deliberate deviation.</t>
  </si>
  <si>
    <t xml:space="preserve">Trimming</t>
  </si>
  <si>
    <t xml:space="preserve">Pass A trims an over-capacity FC's largest lines down to the 2-unit minimum; pass B, only if still over, drops whole lines largest-first. Trimmed units are then offered to FCs that still have both an unmet gap and headroom, before anything goes to IXD.</t>
  </si>
  <si>
    <t xml:space="preserve">Already over the limit</t>
  </si>
  <si>
    <t xml:space="preserve">HYD8 is over its stated Capacity Units by 139 units on sellable stock plus open inbound alone; PNQ3 is over its stated Capacity Units by 15 units on sellable stock plus open inbound alone. Zero units are planned into these - either the capacity file is stale or Amazon has re-cut the limit.</t>
  </si>
  <si>
    <t xml:space="preserve">7. IXD OVERFLOW</t>
  </si>
  <si>
    <t xml:space="preserve">Rule (21 Aug 2026)</t>
  </si>
  <si>
    <t xml:space="preserve">Whatever the FC network cannot accept goes to the Amazon IXD cross-docks DED3 and DED5, which receive and distribute onward. This replaces the older "never a planned destination" rule.</t>
  </si>
  <si>
    <t xml:space="preserve">Headroom derivation</t>
  </si>
  <si>
    <t xml:space="preserve">Per cross-dock: min(Capacity - sellable stock - outstanding open inbound to that cross-dock, Available Space - outstanding open inbound to that cross-dock), floored at 0. Re-derived from this run's per-shipment destinations, not assumed. DED3: 2,011 units of headroom; DED5: 913 units of headroom.</t>
  </si>
  <si>
    <t xml:space="preserve">Split this run</t>
  </si>
  <si>
    <t xml:space="preserve">DED3 took 1,042 units; DED5 took 438 units. DED3 carries most of it, as it did in August, but the split was re-derived rather than assumed.</t>
  </si>
  <si>
    <t xml:space="preserve">What IXD does and does not do</t>
  </si>
  <si>
    <t xml:space="preserve">IXD gets stock into Amazon's network sooner and lets Amazon distribute it onward, but it does NOT create space at the constrained FCs. The capacity expansion case still stands.</t>
  </si>
  <si>
    <t xml:space="preserve">1 units could not be placed anywhere after the FC network and both cross-docks were exhausted.</t>
  </si>
  <si>
    <t xml:space="preserve">8. INBOUND SHIPMENTS TAB - WHY THE TWO TOTALS DIFFER</t>
  </si>
  <si>
    <t xml:space="preserve">The two figures</t>
  </si>
  <si>
    <t xml:space="preserve">The Inbound Shipments tab carries EVERY outstanding unit: 11,274 units across 74 open shipments. The ASIN Summary "Inbound on open shipments" column carries 11,274 units, because it is limited to the 241 ASINs that sold in the window. The difference (0 units) is inbound for ASINs with no sales in the window; those rows are labelled "[out of scope - no sales in the window]" in the Product column. This gap is correct and is not an error.</t>
  </si>
  <si>
    <t xml:space="preserve">Known gap in the line data</t>
  </si>
  <si>
    <t xml:space="preserve">For 25 of the 74 open shipments Amazon's items endpoint returns only the first 50 SKU lines, so the line list is partial. Shipment-level outstanding is authoritative: each shipment's outstanding was distributed across its known ASIN lines pro-rata to line-level outstanding, falling back to line expected where no line outstanding exists. The totals tie - 11,274 units at shipment level and 11,274 units after distribution.</t>
  </si>
  <si>
    <t xml:space="preserve">9. LIMITATIONS</t>
  </si>
  <si>
    <t xml:space="preserve">Stale capacity file</t>
  </si>
  <si>
    <t xml:space="preserve">Available Space moves weekly and this table is from 21 Aug 2026.</t>
  </si>
  <si>
    <t xml:space="preserve">Partial inbound line lists</t>
  </si>
  <si>
    <t xml:space="preserve">See section 8 - the pro-rata distribution is an estimate at ASIN level for 25 shipments, though shipment and FC totals are exact.</t>
  </si>
  <si>
    <t xml:space="preserve">15 days of history</t>
  </si>
  <si>
    <t xml:space="preserve">A 15-day window is short for slow-moving ASINs; a single order can move a small ASIN across the 6-unit threshold. The threshold exists to damp that.</t>
  </si>
  <si>
    <t xml:space="preserve">No seasonality</t>
  </si>
  <si>
    <t xml:space="preserve">The 45-day requirement is a flat extrapolation of the 15-day rate. No festive or promotional uplift is applied.</t>
  </si>
  <si>
    <t xml:space="preserve">Two products without a unit size</t>
  </si>
  <si>
    <t xml:space="preserve">B0FHBH57NS "TMPE Ayurvedic Herbal Massage Potli Pack of 2" and B0G93FGZDQ "TMPE Professional Cuticle Oil Refill Pack" carry no size anywhere in the title or SKU. Known open items; not guessed from sibling SKUs.</t>
  </si>
  <si>
    <t xml:space="preserve">Duplicate listings</t>
  </si>
  <si>
    <t xml:space="preserve">B0CVQJS2NC / B0GDTPNJFG (Sandalwood Diffuser Oil 1L) and B0CVQL2SF9 / B0GDTCJZNQ (Sandalwood Diffuser Oil 30ml) legitimately share a name. They are planned separately.</t>
  </si>
  <si>
    <t xml:space="preserve">10. HEADLINE NUMBERS</t>
  </si>
  <si>
    <t xml:space="preserve">Total planned shipment</t>
  </si>
  <si>
    <t xml:space="preserve">3,744 units - 2,264 to FCs across 454 lines, 1,480 to IXD cross-docks across 109 lines.</t>
  </si>
  <si>
    <t xml:space="preserve">FCs receiving stock</t>
  </si>
  <si>
    <t xml:space="preserve">19 of 21.</t>
  </si>
  <si>
    <t xml:space="preserve">Open inbound netted off</t>
  </si>
  <si>
    <t xml:space="preserve">9,459 units.</t>
  </si>
  <si>
    <t xml:space="preserve">Sampling units excluded</t>
  </si>
  <si>
    <t xml:space="preserve">0 (window does not overlap 7-10 Aug 2026).</t>
  </si>
</sst>
</file>

<file path=xl/styles.xml><?xml version="1.0" encoding="utf-8"?>
<styleSheet xmlns="http://schemas.openxmlformats.org/spreadsheetml/2006/main">
  <numFmts count="2">
    <numFmt numFmtId="164" formatCode="General"/>
    <numFmt numFmtId="165" formatCode="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b val="true"/>
      <sz val="10"/>
      <color rgb="FFFFFFFF"/>
      <name val="Arial"/>
      <family val="0"/>
      <charset val="1"/>
    </font>
    <font>
      <sz val="10"/>
      <name val="Arial"/>
      <family val="0"/>
      <charset val="1"/>
    </font>
    <font>
      <b val="true"/>
      <sz val="12"/>
      <name val="Arial"/>
      <family val="0"/>
      <charset val="1"/>
    </font>
  </fonts>
  <fills count="6">
    <fill>
      <patternFill patternType="none"/>
    </fill>
    <fill>
      <patternFill patternType="gray125"/>
    </fill>
    <fill>
      <patternFill patternType="solid">
        <fgColor rgb="FFD9E2F3"/>
        <bgColor rgb="FFE2EFDA"/>
      </patternFill>
    </fill>
    <fill>
      <patternFill patternType="solid">
        <fgColor rgb="FF1F3864"/>
        <bgColor rgb="FF333333"/>
      </patternFill>
    </fill>
    <fill>
      <patternFill patternType="solid">
        <fgColor rgb="FFE2EFDA"/>
        <bgColor rgb="FFD9E2F3"/>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54"/>
    <col collapsed="false" customWidth="true" hidden="false" outlineLevel="0" max="3" min="3" style="0" width="34"/>
    <col collapsed="false" customWidth="true" hidden="false" outlineLevel="0" max="4" min="4" style="0" width="10"/>
    <col collapsed="false" customWidth="true" hidden="false" outlineLevel="0" max="5" min="5" style="0" width="13"/>
    <col collapsed="false" customWidth="true" hidden="false" outlineLevel="0" max="6" min="6" style="0" width="12"/>
    <col collapsed="false" customWidth="true" hidden="false" outlineLevel="0" max="7" min="7" style="0" width="15"/>
    <col collapsed="false" customWidth="true" hidden="false" outlineLevel="0" max="8" min="8" style="0" width="13"/>
    <col collapsed="false" customWidth="true" hidden="false" outlineLevel="0" max="9" min="9" style="0" width="11"/>
    <col collapsed="false" customWidth="true" hidden="false" outlineLevel="0" max="10" min="10" style="0" width="12"/>
    <col collapsed="false" customWidth="true" hidden="false" outlineLevel="0" max="11" min="11" style="0" width="16"/>
  </cols>
  <sheetData>
    <row r="1" customFormat="false" ht="15" hidden="false" customHeight="false" outlineLevel="0" collapsed="false">
      <c r="A1" s="1" t="s">
        <v>0</v>
      </c>
      <c r="B1" s="1"/>
      <c r="C1" s="1"/>
      <c r="D1" s="1"/>
      <c r="E1" s="1"/>
      <c r="F1" s="1" t="n">
        <f aca="false">SUM(F3:F565)</f>
        <v>2090</v>
      </c>
      <c r="G1" s="1" t="n">
        <f aca="false">SUM(G3:G565)</f>
        <v>1130</v>
      </c>
      <c r="H1" s="1" t="n">
        <f aca="false">SUM(H3:H565)</f>
        <v>9045.7</v>
      </c>
      <c r="I1" s="1" t="n">
        <f aca="false">SUM(I3:I565)</f>
        <v>3744</v>
      </c>
      <c r="J1" s="1" t="n">
        <f aca="false">SUM(J3:J565)</f>
        <v>3394</v>
      </c>
      <c r="K1" s="1"/>
    </row>
    <row r="2" customFormat="false" ht="15" hidden="false" customHeight="false" outlineLevel="0" collapsed="false">
      <c r="A2" s="2" t="s">
        <v>1</v>
      </c>
      <c r="B2" s="2" t="s">
        <v>2</v>
      </c>
      <c r="C2" s="2" t="s">
        <v>3</v>
      </c>
      <c r="D2" s="2" t="s">
        <v>4</v>
      </c>
      <c r="E2" s="2" t="s">
        <v>5</v>
      </c>
      <c r="F2" s="2" t="s">
        <v>6</v>
      </c>
      <c r="G2" s="2" t="s">
        <v>7</v>
      </c>
      <c r="H2" s="2" t="s">
        <v>8</v>
      </c>
      <c r="I2" s="2" t="s">
        <v>9</v>
      </c>
      <c r="J2" s="2" t="s">
        <v>10</v>
      </c>
      <c r="K2" s="2" t="s">
        <v>11</v>
      </c>
    </row>
    <row r="3" customFormat="false" ht="15" hidden="false" customHeight="false" outlineLevel="0" collapsed="false">
      <c r="A3" s="3" t="s">
        <v>12</v>
      </c>
      <c r="B3" s="3" t="s">
        <v>13</v>
      </c>
      <c r="C3" s="3" t="s">
        <v>14</v>
      </c>
      <c r="D3" s="3" t="s">
        <v>15</v>
      </c>
      <c r="E3" s="3" t="s">
        <v>16</v>
      </c>
      <c r="F3" s="3" t="s">
        <v>17</v>
      </c>
      <c r="G3" s="3" t="s">
        <v>17</v>
      </c>
      <c r="H3" s="3" t="s">
        <v>17</v>
      </c>
      <c r="I3" s="3" t="n">
        <v>4</v>
      </c>
      <c r="J3" s="3" t="s">
        <v>17</v>
      </c>
      <c r="K3" s="3" t="s">
        <v>17</v>
      </c>
    </row>
    <row r="4" customFormat="false" ht="15" hidden="false" customHeight="false" outlineLevel="0" collapsed="false">
      <c r="A4" s="4" t="s">
        <v>12</v>
      </c>
      <c r="B4" s="4" t="s">
        <v>13</v>
      </c>
      <c r="C4" s="4" t="s">
        <v>14</v>
      </c>
      <c r="D4" s="4" t="s">
        <v>18</v>
      </c>
      <c r="E4" s="4" t="s">
        <v>19</v>
      </c>
      <c r="F4" s="4" t="n">
        <v>0</v>
      </c>
      <c r="G4" s="4" t="n">
        <v>0</v>
      </c>
      <c r="H4" s="4" t="n">
        <v>6</v>
      </c>
      <c r="I4" s="4" t="n">
        <v>2</v>
      </c>
      <c r="J4" s="4" t="n">
        <f aca="false">G4+I4</f>
        <v>2</v>
      </c>
      <c r="K4" s="4" t="n">
        <f aca="false">IF(H4&lt;=0,"",ROUND(J4/(H4/45),0))</f>
        <v>15</v>
      </c>
    </row>
    <row r="5" customFormat="false" ht="15" hidden="false" customHeight="false" outlineLevel="0" collapsed="false">
      <c r="A5" s="3" t="s">
        <v>20</v>
      </c>
      <c r="B5" s="3" t="s">
        <v>21</v>
      </c>
      <c r="C5" s="3" t="s">
        <v>22</v>
      </c>
      <c r="D5" s="3" t="s">
        <v>15</v>
      </c>
      <c r="E5" s="3" t="s">
        <v>16</v>
      </c>
      <c r="F5" s="3" t="s">
        <v>17</v>
      </c>
      <c r="G5" s="3" t="s">
        <v>17</v>
      </c>
      <c r="H5" s="3" t="s">
        <v>17</v>
      </c>
      <c r="I5" s="3" t="n">
        <v>4</v>
      </c>
      <c r="J5" s="3" t="s">
        <v>17</v>
      </c>
      <c r="K5" s="3" t="s">
        <v>17</v>
      </c>
    </row>
    <row r="6" customFormat="false" ht="15" hidden="false" customHeight="false" outlineLevel="0" collapsed="false">
      <c r="A6" s="4" t="s">
        <v>20</v>
      </c>
      <c r="B6" s="4" t="s">
        <v>21</v>
      </c>
      <c r="C6" s="4" t="s">
        <v>22</v>
      </c>
      <c r="D6" s="4" t="s">
        <v>18</v>
      </c>
      <c r="E6" s="4" t="s">
        <v>19</v>
      </c>
      <c r="F6" s="4" t="n">
        <v>0</v>
      </c>
      <c r="G6" s="4" t="n">
        <v>0</v>
      </c>
      <c r="H6" s="4" t="n">
        <v>6</v>
      </c>
      <c r="I6" s="4" t="n">
        <v>2</v>
      </c>
      <c r="J6" s="4" t="n">
        <f aca="false">G6+I6</f>
        <v>2</v>
      </c>
      <c r="K6" s="4" t="n">
        <f aca="false">IF(H6&lt;=0,"",ROUND(J6/(H6/45),0))</f>
        <v>15</v>
      </c>
    </row>
    <row r="7" customFormat="false" ht="15" hidden="false" customHeight="false" outlineLevel="0" collapsed="false">
      <c r="A7" s="4" t="s">
        <v>23</v>
      </c>
      <c r="B7" s="4" t="s">
        <v>24</v>
      </c>
      <c r="C7" s="4" t="s">
        <v>25</v>
      </c>
      <c r="D7" s="4" t="s">
        <v>18</v>
      </c>
      <c r="E7" s="4" t="s">
        <v>19</v>
      </c>
      <c r="F7" s="4" t="n">
        <v>0</v>
      </c>
      <c r="G7" s="4" t="n">
        <v>2</v>
      </c>
      <c r="H7" s="4" t="n">
        <v>6</v>
      </c>
      <c r="I7" s="4" t="n">
        <v>3</v>
      </c>
      <c r="J7" s="4" t="n">
        <f aca="false">G7+I7</f>
        <v>5</v>
      </c>
      <c r="K7" s="4" t="n">
        <f aca="false">IF(H7&lt;=0,"",ROUND(J7/(H7/45),0))</f>
        <v>38</v>
      </c>
    </row>
    <row r="8" customFormat="false" ht="15" hidden="false" customHeight="false" outlineLevel="0" collapsed="false">
      <c r="A8" s="4" t="s">
        <v>26</v>
      </c>
      <c r="B8" s="4" t="s">
        <v>27</v>
      </c>
      <c r="C8" s="4" t="s">
        <v>28</v>
      </c>
      <c r="D8" s="4" t="s">
        <v>29</v>
      </c>
      <c r="E8" s="4" t="s">
        <v>19</v>
      </c>
      <c r="F8" s="4" t="n">
        <v>3</v>
      </c>
      <c r="G8" s="4" t="n">
        <v>0</v>
      </c>
      <c r="H8" s="4" t="n">
        <v>9</v>
      </c>
      <c r="I8" s="4" t="n">
        <v>3</v>
      </c>
      <c r="J8" s="4" t="n">
        <f aca="false">G8+I8</f>
        <v>3</v>
      </c>
      <c r="K8" s="4" t="n">
        <f aca="false">IF(H8&lt;=0,"",ROUND(J8/(H8/45),0))</f>
        <v>15</v>
      </c>
    </row>
    <row r="9" customFormat="false" ht="15" hidden="false" customHeight="false" outlineLevel="0" collapsed="false">
      <c r="A9" s="4" t="s">
        <v>26</v>
      </c>
      <c r="B9" s="4" t="s">
        <v>27</v>
      </c>
      <c r="C9" s="4" t="s">
        <v>28</v>
      </c>
      <c r="D9" s="4" t="s">
        <v>30</v>
      </c>
      <c r="E9" s="4" t="s">
        <v>19</v>
      </c>
      <c r="F9" s="4" t="n">
        <v>1</v>
      </c>
      <c r="G9" s="4" t="n">
        <v>0</v>
      </c>
      <c r="H9" s="4" t="n">
        <v>6.8</v>
      </c>
      <c r="I9" s="4" t="n">
        <v>2</v>
      </c>
      <c r="J9" s="4" t="n">
        <f aca="false">G9+I9</f>
        <v>2</v>
      </c>
      <c r="K9" s="4" t="n">
        <f aca="false">IF(H9&lt;=0,"",ROUND(J9/(H9/45),0))</f>
        <v>13</v>
      </c>
    </row>
    <row r="10" customFormat="false" ht="15" hidden="false" customHeight="false" outlineLevel="0" collapsed="false">
      <c r="A10" s="4" t="s">
        <v>26</v>
      </c>
      <c r="B10" s="4" t="s">
        <v>27</v>
      </c>
      <c r="C10" s="4" t="s">
        <v>28</v>
      </c>
      <c r="D10" s="4" t="s">
        <v>31</v>
      </c>
      <c r="E10" s="4" t="s">
        <v>19</v>
      </c>
      <c r="F10" s="4" t="n">
        <v>20</v>
      </c>
      <c r="G10" s="4" t="n">
        <v>0</v>
      </c>
      <c r="H10" s="4" t="n">
        <v>63.2</v>
      </c>
      <c r="I10" s="4" t="n">
        <v>2</v>
      </c>
      <c r="J10" s="4" t="n">
        <f aca="false">G10+I10</f>
        <v>2</v>
      </c>
      <c r="K10" s="4" t="n">
        <f aca="false">IF(H10&lt;=0,"",ROUND(J10/(H10/45),0))</f>
        <v>1</v>
      </c>
    </row>
    <row r="11" customFormat="false" ht="15" hidden="false" customHeight="false" outlineLevel="0" collapsed="false">
      <c r="A11" s="3" t="s">
        <v>26</v>
      </c>
      <c r="B11" s="3" t="s">
        <v>27</v>
      </c>
      <c r="C11" s="3" t="s">
        <v>28</v>
      </c>
      <c r="D11" s="3" t="s">
        <v>15</v>
      </c>
      <c r="E11" s="3" t="s">
        <v>16</v>
      </c>
      <c r="F11" s="3" t="s">
        <v>17</v>
      </c>
      <c r="G11" s="3" t="s">
        <v>17</v>
      </c>
      <c r="H11" s="3" t="s">
        <v>17</v>
      </c>
      <c r="I11" s="3" t="n">
        <v>29</v>
      </c>
      <c r="J11" s="3" t="s">
        <v>17</v>
      </c>
      <c r="K11" s="3" t="s">
        <v>17</v>
      </c>
    </row>
    <row r="12" customFormat="false" ht="15" hidden="false" customHeight="false" outlineLevel="0" collapsed="false">
      <c r="A12" s="4" t="s">
        <v>26</v>
      </c>
      <c r="B12" s="4" t="s">
        <v>27</v>
      </c>
      <c r="C12" s="4" t="s">
        <v>28</v>
      </c>
      <c r="D12" s="4" t="s">
        <v>32</v>
      </c>
      <c r="E12" s="4" t="s">
        <v>19</v>
      </c>
      <c r="F12" s="4" t="n">
        <v>10</v>
      </c>
      <c r="G12" s="4" t="n">
        <v>0</v>
      </c>
      <c r="H12" s="4" t="n">
        <v>33.1</v>
      </c>
      <c r="I12" s="4" t="n">
        <v>2</v>
      </c>
      <c r="J12" s="4" t="n">
        <f aca="false">G12+I12</f>
        <v>2</v>
      </c>
      <c r="K12" s="4" t="n">
        <f aca="false">IF(H12&lt;=0,"",ROUND(J12/(H12/45),0))</f>
        <v>3</v>
      </c>
    </row>
    <row r="13" customFormat="false" ht="15" hidden="false" customHeight="false" outlineLevel="0" collapsed="false">
      <c r="A13" s="3" t="s">
        <v>26</v>
      </c>
      <c r="B13" s="3" t="s">
        <v>27</v>
      </c>
      <c r="C13" s="3" t="s">
        <v>28</v>
      </c>
      <c r="D13" s="3" t="s">
        <v>33</v>
      </c>
      <c r="E13" s="3" t="s">
        <v>16</v>
      </c>
      <c r="F13" s="3" t="s">
        <v>17</v>
      </c>
      <c r="G13" s="3" t="s">
        <v>17</v>
      </c>
      <c r="H13" s="3" t="s">
        <v>17</v>
      </c>
      <c r="I13" s="3" t="n">
        <v>13</v>
      </c>
      <c r="J13" s="3" t="s">
        <v>17</v>
      </c>
      <c r="K13" s="3" t="s">
        <v>17</v>
      </c>
    </row>
    <row r="14" customFormat="false" ht="15" hidden="false" customHeight="false" outlineLevel="0" collapsed="false">
      <c r="A14" s="4" t="s">
        <v>26</v>
      </c>
      <c r="B14" s="4" t="s">
        <v>27</v>
      </c>
      <c r="C14" s="4" t="s">
        <v>28</v>
      </c>
      <c r="D14" s="4" t="s">
        <v>34</v>
      </c>
      <c r="E14" s="4" t="s">
        <v>19</v>
      </c>
      <c r="F14" s="4" t="n">
        <v>7</v>
      </c>
      <c r="G14" s="4" t="n">
        <v>16</v>
      </c>
      <c r="H14" s="4" t="n">
        <v>21</v>
      </c>
      <c r="I14" s="4" t="n">
        <v>2</v>
      </c>
      <c r="J14" s="4" t="n">
        <f aca="false">G14+I14</f>
        <v>18</v>
      </c>
      <c r="K14" s="4" t="n">
        <f aca="false">IF(H14&lt;=0,"",ROUND(J14/(H14/45),0))</f>
        <v>39</v>
      </c>
    </row>
    <row r="15" customFormat="false" ht="15" hidden="false" customHeight="false" outlineLevel="0" collapsed="false">
      <c r="A15" s="4" t="s">
        <v>26</v>
      </c>
      <c r="B15" s="4" t="s">
        <v>27</v>
      </c>
      <c r="C15" s="4" t="s">
        <v>28</v>
      </c>
      <c r="D15" s="4" t="s">
        <v>35</v>
      </c>
      <c r="E15" s="4" t="s">
        <v>19</v>
      </c>
      <c r="F15" s="4" t="n">
        <v>13</v>
      </c>
      <c r="G15" s="4" t="n">
        <v>0</v>
      </c>
      <c r="H15" s="4" t="n">
        <v>39</v>
      </c>
      <c r="I15" s="4" t="n">
        <v>12</v>
      </c>
      <c r="J15" s="4" t="n">
        <f aca="false">G15+I15</f>
        <v>12</v>
      </c>
      <c r="K15" s="4" t="n">
        <f aca="false">IF(H15&lt;=0,"",ROUND(J15/(H15/45),0))</f>
        <v>14</v>
      </c>
    </row>
    <row r="16" customFormat="false" ht="15" hidden="false" customHeight="false" outlineLevel="0" collapsed="false">
      <c r="A16" s="4" t="s">
        <v>36</v>
      </c>
      <c r="B16" s="4" t="s">
        <v>37</v>
      </c>
      <c r="C16" s="4" t="s">
        <v>38</v>
      </c>
      <c r="D16" s="4" t="s">
        <v>30</v>
      </c>
      <c r="E16" s="4" t="s">
        <v>19</v>
      </c>
      <c r="F16" s="4" t="n">
        <v>0</v>
      </c>
      <c r="G16" s="4" t="n">
        <v>0</v>
      </c>
      <c r="H16" s="4" t="n">
        <v>6.2</v>
      </c>
      <c r="I16" s="4" t="n">
        <v>3</v>
      </c>
      <c r="J16" s="4" t="n">
        <f aca="false">G16+I16</f>
        <v>3</v>
      </c>
      <c r="K16" s="4" t="n">
        <f aca="false">IF(H16&lt;=0,"",ROUND(J16/(H16/45),0))</f>
        <v>22</v>
      </c>
    </row>
    <row r="17" customFormat="false" ht="15" hidden="false" customHeight="false" outlineLevel="0" collapsed="false">
      <c r="A17" s="4" t="s">
        <v>36</v>
      </c>
      <c r="B17" s="4" t="s">
        <v>37</v>
      </c>
      <c r="C17" s="4" t="s">
        <v>38</v>
      </c>
      <c r="D17" s="4" t="s">
        <v>18</v>
      </c>
      <c r="E17" s="4" t="s">
        <v>19</v>
      </c>
      <c r="F17" s="4" t="n">
        <v>0</v>
      </c>
      <c r="G17" s="4" t="n">
        <v>1</v>
      </c>
      <c r="H17" s="4" t="n">
        <v>7.9</v>
      </c>
      <c r="I17" s="4" t="n">
        <v>3</v>
      </c>
      <c r="J17" s="4" t="n">
        <f aca="false">G17+I17</f>
        <v>4</v>
      </c>
      <c r="K17" s="4" t="n">
        <f aca="false">IF(H17&lt;=0,"",ROUND(J17/(H17/45),0))</f>
        <v>23</v>
      </c>
    </row>
    <row r="18" customFormat="false" ht="15" hidden="false" customHeight="false" outlineLevel="0" collapsed="false">
      <c r="A18" s="4" t="s">
        <v>36</v>
      </c>
      <c r="B18" s="4" t="s">
        <v>37</v>
      </c>
      <c r="C18" s="4" t="s">
        <v>38</v>
      </c>
      <c r="D18" s="4" t="s">
        <v>39</v>
      </c>
      <c r="E18" s="4" t="s">
        <v>19</v>
      </c>
      <c r="F18" s="4" t="n">
        <v>0</v>
      </c>
      <c r="G18" s="4" t="n">
        <v>1</v>
      </c>
      <c r="H18" s="4" t="n">
        <v>7.1</v>
      </c>
      <c r="I18" s="4" t="n">
        <v>3</v>
      </c>
      <c r="J18" s="4" t="n">
        <f aca="false">G18+I18</f>
        <v>4</v>
      </c>
      <c r="K18" s="4" t="n">
        <f aca="false">IF(H18&lt;=0,"",ROUND(J18/(H18/45),0))</f>
        <v>25</v>
      </c>
    </row>
    <row r="19" customFormat="false" ht="15" hidden="false" customHeight="false" outlineLevel="0" collapsed="false">
      <c r="A19" s="4" t="s">
        <v>36</v>
      </c>
      <c r="B19" s="4" t="s">
        <v>37</v>
      </c>
      <c r="C19" s="4" t="s">
        <v>38</v>
      </c>
      <c r="D19" s="4" t="s">
        <v>40</v>
      </c>
      <c r="E19" s="4" t="s">
        <v>19</v>
      </c>
      <c r="F19" s="4" t="n">
        <v>0</v>
      </c>
      <c r="G19" s="4" t="n">
        <v>1</v>
      </c>
      <c r="H19" s="4" t="n">
        <v>7.1</v>
      </c>
      <c r="I19" s="4" t="n">
        <v>3</v>
      </c>
      <c r="J19" s="4" t="n">
        <f aca="false">G19+I19</f>
        <v>4</v>
      </c>
      <c r="K19" s="4" t="n">
        <f aca="false">IF(H19&lt;=0,"",ROUND(J19/(H19/45),0))</f>
        <v>25</v>
      </c>
    </row>
    <row r="20" customFormat="false" ht="15" hidden="false" customHeight="false" outlineLevel="0" collapsed="false">
      <c r="A20" s="4" t="s">
        <v>41</v>
      </c>
      <c r="B20" s="4" t="s">
        <v>42</v>
      </c>
      <c r="C20" s="4" t="s">
        <v>43</v>
      </c>
      <c r="D20" s="4" t="s">
        <v>31</v>
      </c>
      <c r="E20" s="4" t="s">
        <v>19</v>
      </c>
      <c r="F20" s="4" t="n">
        <v>5</v>
      </c>
      <c r="G20" s="4" t="n">
        <v>1</v>
      </c>
      <c r="H20" s="4" t="n">
        <v>19.8</v>
      </c>
      <c r="I20" s="4" t="n">
        <v>2</v>
      </c>
      <c r="J20" s="4" t="n">
        <f aca="false">G20+I20</f>
        <v>3</v>
      </c>
      <c r="K20" s="4" t="n">
        <f aca="false">IF(H20&lt;=0,"",ROUND(J20/(H20/45),0))</f>
        <v>7</v>
      </c>
    </row>
    <row r="21" customFormat="false" ht="15" hidden="false" customHeight="false" outlineLevel="0" collapsed="false">
      <c r="A21" s="3" t="s">
        <v>41</v>
      </c>
      <c r="B21" s="3" t="s">
        <v>42</v>
      </c>
      <c r="C21" s="3" t="s">
        <v>43</v>
      </c>
      <c r="D21" s="3" t="s">
        <v>15</v>
      </c>
      <c r="E21" s="3" t="s">
        <v>16</v>
      </c>
      <c r="F21" s="3" t="s">
        <v>17</v>
      </c>
      <c r="G21" s="3" t="s">
        <v>17</v>
      </c>
      <c r="H21" s="3" t="s">
        <v>17</v>
      </c>
      <c r="I21" s="3" t="n">
        <v>7</v>
      </c>
      <c r="J21" s="3" t="s">
        <v>17</v>
      </c>
      <c r="K21" s="3" t="s">
        <v>17</v>
      </c>
    </row>
    <row r="22" customFormat="false" ht="15" hidden="false" customHeight="false" outlineLevel="0" collapsed="false">
      <c r="A22" s="3" t="s">
        <v>41</v>
      </c>
      <c r="B22" s="3" t="s">
        <v>42</v>
      </c>
      <c r="C22" s="3" t="s">
        <v>43</v>
      </c>
      <c r="D22" s="3" t="s">
        <v>33</v>
      </c>
      <c r="E22" s="3" t="s">
        <v>16</v>
      </c>
      <c r="F22" s="3" t="s">
        <v>17</v>
      </c>
      <c r="G22" s="3" t="s">
        <v>17</v>
      </c>
      <c r="H22" s="3" t="s">
        <v>17</v>
      </c>
      <c r="I22" s="3" t="n">
        <v>3</v>
      </c>
      <c r="J22" s="3" t="s">
        <v>17</v>
      </c>
      <c r="K22" s="3" t="s">
        <v>17</v>
      </c>
    </row>
    <row r="23" customFormat="false" ht="15" hidden="false" customHeight="false" outlineLevel="0" collapsed="false">
      <c r="A23" s="4" t="s">
        <v>41</v>
      </c>
      <c r="B23" s="4" t="s">
        <v>42</v>
      </c>
      <c r="C23" s="4" t="s">
        <v>43</v>
      </c>
      <c r="D23" s="4" t="s">
        <v>39</v>
      </c>
      <c r="E23" s="4" t="s">
        <v>19</v>
      </c>
      <c r="F23" s="4" t="n">
        <v>0</v>
      </c>
      <c r="G23" s="4" t="n">
        <v>0</v>
      </c>
      <c r="H23" s="4" t="n">
        <v>7</v>
      </c>
      <c r="I23" s="4" t="n">
        <v>4</v>
      </c>
      <c r="J23" s="4" t="n">
        <f aca="false">G23+I23</f>
        <v>4</v>
      </c>
      <c r="K23" s="4" t="n">
        <f aca="false">IF(H23&lt;=0,"",ROUND(J23/(H23/45),0))</f>
        <v>26</v>
      </c>
    </row>
    <row r="24" customFormat="false" ht="15" hidden="false" customHeight="false" outlineLevel="0" collapsed="false">
      <c r="A24" s="3" t="s">
        <v>44</v>
      </c>
      <c r="B24" s="3" t="s">
        <v>45</v>
      </c>
      <c r="C24" s="3" t="s">
        <v>46</v>
      </c>
      <c r="D24" s="3" t="s">
        <v>15</v>
      </c>
      <c r="E24" s="3" t="s">
        <v>16</v>
      </c>
      <c r="F24" s="3" t="s">
        <v>17</v>
      </c>
      <c r="G24" s="3" t="s">
        <v>17</v>
      </c>
      <c r="H24" s="3" t="s">
        <v>17</v>
      </c>
      <c r="I24" s="3" t="n">
        <v>4</v>
      </c>
      <c r="J24" s="3" t="s">
        <v>17</v>
      </c>
      <c r="K24" s="3" t="s">
        <v>17</v>
      </c>
    </row>
    <row r="25" customFormat="false" ht="15" hidden="false" customHeight="false" outlineLevel="0" collapsed="false">
      <c r="A25" s="4" t="s">
        <v>44</v>
      </c>
      <c r="B25" s="4" t="s">
        <v>45</v>
      </c>
      <c r="C25" s="4" t="s">
        <v>46</v>
      </c>
      <c r="D25" s="4" t="s">
        <v>18</v>
      </c>
      <c r="E25" s="4" t="s">
        <v>19</v>
      </c>
      <c r="F25" s="4" t="n">
        <v>0</v>
      </c>
      <c r="G25" s="4" t="n">
        <v>0</v>
      </c>
      <c r="H25" s="4" t="n">
        <v>6</v>
      </c>
      <c r="I25" s="4" t="n">
        <v>2</v>
      </c>
      <c r="J25" s="4" t="n">
        <f aca="false">G25+I25</f>
        <v>2</v>
      </c>
      <c r="K25" s="4" t="n">
        <f aca="false">IF(H25&lt;=0,"",ROUND(J25/(H25/45),0))</f>
        <v>15</v>
      </c>
    </row>
    <row r="26" customFormat="false" ht="15" hidden="false" customHeight="false" outlineLevel="0" collapsed="false">
      <c r="A26" s="4" t="s">
        <v>47</v>
      </c>
      <c r="B26" s="4" t="s">
        <v>48</v>
      </c>
      <c r="C26" s="4" t="s">
        <v>49</v>
      </c>
      <c r="D26" s="4" t="s">
        <v>30</v>
      </c>
      <c r="E26" s="4" t="s">
        <v>19</v>
      </c>
      <c r="F26" s="4" t="n">
        <v>0</v>
      </c>
      <c r="G26" s="4" t="n">
        <v>0</v>
      </c>
      <c r="H26" s="4" t="n">
        <v>6.2</v>
      </c>
      <c r="I26" s="4" t="n">
        <v>3</v>
      </c>
      <c r="J26" s="4" t="n">
        <f aca="false">G26+I26</f>
        <v>3</v>
      </c>
      <c r="K26" s="4" t="n">
        <f aca="false">IF(H26&lt;=0,"",ROUND(J26/(H26/45),0))</f>
        <v>22</v>
      </c>
    </row>
    <row r="27" customFormat="false" ht="15" hidden="false" customHeight="false" outlineLevel="0" collapsed="false">
      <c r="A27" s="4" t="s">
        <v>47</v>
      </c>
      <c r="B27" s="4" t="s">
        <v>48</v>
      </c>
      <c r="C27" s="4" t="s">
        <v>49</v>
      </c>
      <c r="D27" s="4" t="s">
        <v>18</v>
      </c>
      <c r="E27" s="4" t="s">
        <v>19</v>
      </c>
      <c r="F27" s="4" t="n">
        <v>0</v>
      </c>
      <c r="G27" s="4" t="n">
        <v>0</v>
      </c>
      <c r="H27" s="4" t="n">
        <v>7.9</v>
      </c>
      <c r="I27" s="4" t="n">
        <v>4</v>
      </c>
      <c r="J27" s="4" t="n">
        <f aca="false">G27+I27</f>
        <v>4</v>
      </c>
      <c r="K27" s="4" t="n">
        <f aca="false">IF(H27&lt;=0,"",ROUND(J27/(H27/45),0))</f>
        <v>23</v>
      </c>
    </row>
    <row r="28" customFormat="false" ht="15" hidden="false" customHeight="false" outlineLevel="0" collapsed="false">
      <c r="A28" s="4" t="s">
        <v>47</v>
      </c>
      <c r="B28" s="4" t="s">
        <v>48</v>
      </c>
      <c r="C28" s="4" t="s">
        <v>49</v>
      </c>
      <c r="D28" s="4" t="s">
        <v>39</v>
      </c>
      <c r="E28" s="4" t="s">
        <v>19</v>
      </c>
      <c r="F28" s="4" t="n">
        <v>0</v>
      </c>
      <c r="G28" s="4" t="n">
        <v>0</v>
      </c>
      <c r="H28" s="4" t="n">
        <v>7.1</v>
      </c>
      <c r="I28" s="4" t="n">
        <v>3</v>
      </c>
      <c r="J28" s="4" t="n">
        <f aca="false">G28+I28</f>
        <v>3</v>
      </c>
      <c r="K28" s="4" t="n">
        <f aca="false">IF(H28&lt;=0,"",ROUND(J28/(H28/45),0))</f>
        <v>19</v>
      </c>
    </row>
    <row r="29" customFormat="false" ht="15" hidden="false" customHeight="false" outlineLevel="0" collapsed="false">
      <c r="A29" s="4" t="s">
        <v>47</v>
      </c>
      <c r="B29" s="4" t="s">
        <v>48</v>
      </c>
      <c r="C29" s="4" t="s">
        <v>49</v>
      </c>
      <c r="D29" s="4" t="s">
        <v>40</v>
      </c>
      <c r="E29" s="4" t="s">
        <v>19</v>
      </c>
      <c r="F29" s="4" t="n">
        <v>0</v>
      </c>
      <c r="G29" s="4" t="n">
        <v>0</v>
      </c>
      <c r="H29" s="4" t="n">
        <v>7.1</v>
      </c>
      <c r="I29" s="4" t="n">
        <v>3</v>
      </c>
      <c r="J29" s="4" t="n">
        <f aca="false">G29+I29</f>
        <v>3</v>
      </c>
      <c r="K29" s="4" t="n">
        <f aca="false">IF(H29&lt;=0,"",ROUND(J29/(H29/45),0))</f>
        <v>19</v>
      </c>
    </row>
    <row r="30" customFormat="false" ht="15" hidden="false" customHeight="false" outlineLevel="0" collapsed="false">
      <c r="A30" s="4" t="s">
        <v>50</v>
      </c>
      <c r="B30" s="4" t="s">
        <v>51</v>
      </c>
      <c r="C30" s="4" t="s">
        <v>52</v>
      </c>
      <c r="D30" s="4" t="s">
        <v>30</v>
      </c>
      <c r="E30" s="4" t="s">
        <v>19</v>
      </c>
      <c r="F30" s="4" t="n">
        <v>0</v>
      </c>
      <c r="G30" s="4" t="n">
        <v>0</v>
      </c>
      <c r="H30" s="4" t="n">
        <v>6.3</v>
      </c>
      <c r="I30" s="4" t="n">
        <v>2</v>
      </c>
      <c r="J30" s="4" t="n">
        <f aca="false">G30+I30</f>
        <v>2</v>
      </c>
      <c r="K30" s="4" t="n">
        <f aca="false">IF(H30&lt;=0,"",ROUND(J30/(H30/45),0))</f>
        <v>14</v>
      </c>
    </row>
    <row r="31" customFormat="false" ht="15" hidden="false" customHeight="false" outlineLevel="0" collapsed="false">
      <c r="A31" s="4" t="s">
        <v>50</v>
      </c>
      <c r="B31" s="4" t="s">
        <v>51</v>
      </c>
      <c r="C31" s="4" t="s">
        <v>52</v>
      </c>
      <c r="D31" s="4" t="s">
        <v>31</v>
      </c>
      <c r="E31" s="4" t="s">
        <v>19</v>
      </c>
      <c r="F31" s="4" t="n">
        <v>5</v>
      </c>
      <c r="G31" s="4" t="n">
        <v>0</v>
      </c>
      <c r="H31" s="4" t="n">
        <v>18.4</v>
      </c>
      <c r="I31" s="4" t="n">
        <v>2</v>
      </c>
      <c r="J31" s="4" t="n">
        <f aca="false">G31+I31</f>
        <v>2</v>
      </c>
      <c r="K31" s="4" t="n">
        <f aca="false">IF(H31&lt;=0,"",ROUND(J31/(H31/45),0))</f>
        <v>5</v>
      </c>
    </row>
    <row r="32" customFormat="false" ht="15" hidden="false" customHeight="false" outlineLevel="0" collapsed="false">
      <c r="A32" s="3" t="s">
        <v>50</v>
      </c>
      <c r="B32" s="3" t="s">
        <v>51</v>
      </c>
      <c r="C32" s="3" t="s">
        <v>52</v>
      </c>
      <c r="D32" s="3" t="s">
        <v>15</v>
      </c>
      <c r="E32" s="3" t="s">
        <v>16</v>
      </c>
      <c r="F32" s="3" t="s">
        <v>17</v>
      </c>
      <c r="G32" s="3" t="s">
        <v>17</v>
      </c>
      <c r="H32" s="3" t="s">
        <v>17</v>
      </c>
      <c r="I32" s="3" t="n">
        <v>4</v>
      </c>
      <c r="J32" s="3" t="s">
        <v>17</v>
      </c>
      <c r="K32" s="3" t="s">
        <v>17</v>
      </c>
    </row>
    <row r="33" customFormat="false" ht="15" hidden="false" customHeight="false" outlineLevel="0" collapsed="false">
      <c r="A33" s="4" t="s">
        <v>50</v>
      </c>
      <c r="B33" s="4" t="s">
        <v>51</v>
      </c>
      <c r="C33" s="4" t="s">
        <v>52</v>
      </c>
      <c r="D33" s="4" t="s">
        <v>53</v>
      </c>
      <c r="E33" s="4" t="s">
        <v>19</v>
      </c>
      <c r="F33" s="4" t="n">
        <v>0</v>
      </c>
      <c r="G33" s="4" t="n">
        <v>0</v>
      </c>
      <c r="H33" s="4" t="n">
        <v>10.3</v>
      </c>
      <c r="I33" s="4" t="n">
        <v>3</v>
      </c>
      <c r="J33" s="4" t="n">
        <f aca="false">G33+I33</f>
        <v>3</v>
      </c>
      <c r="K33" s="4" t="n">
        <f aca="false">IF(H33&lt;=0,"",ROUND(J33/(H33/45),0))</f>
        <v>13</v>
      </c>
    </row>
    <row r="34" customFormat="false" ht="15" hidden="false" customHeight="false" outlineLevel="0" collapsed="false">
      <c r="A34" s="4" t="s">
        <v>50</v>
      </c>
      <c r="B34" s="4" t="s">
        <v>51</v>
      </c>
      <c r="C34" s="4" t="s">
        <v>52</v>
      </c>
      <c r="D34" s="4" t="s">
        <v>39</v>
      </c>
      <c r="E34" s="4" t="s">
        <v>19</v>
      </c>
      <c r="F34" s="4" t="n">
        <v>0</v>
      </c>
      <c r="G34" s="4" t="n">
        <v>0</v>
      </c>
      <c r="H34" s="4" t="n">
        <v>9.2</v>
      </c>
      <c r="I34" s="4" t="n">
        <v>3</v>
      </c>
      <c r="J34" s="4" t="n">
        <f aca="false">G34+I34</f>
        <v>3</v>
      </c>
      <c r="K34" s="4" t="n">
        <f aca="false">IF(H34&lt;=0,"",ROUND(J34/(H34/45),0))</f>
        <v>15</v>
      </c>
    </row>
    <row r="35" customFormat="false" ht="15" hidden="false" customHeight="false" outlineLevel="0" collapsed="false">
      <c r="A35" s="3" t="s">
        <v>54</v>
      </c>
      <c r="B35" s="3" t="s">
        <v>55</v>
      </c>
      <c r="C35" s="3" t="s">
        <v>56</v>
      </c>
      <c r="D35" s="3" t="s">
        <v>15</v>
      </c>
      <c r="E35" s="3" t="s">
        <v>16</v>
      </c>
      <c r="F35" s="3" t="s">
        <v>17</v>
      </c>
      <c r="G35" s="3" t="s">
        <v>17</v>
      </c>
      <c r="H35" s="3" t="s">
        <v>17</v>
      </c>
      <c r="I35" s="3" t="n">
        <v>3</v>
      </c>
      <c r="J35" s="3" t="s">
        <v>17</v>
      </c>
      <c r="K35" s="3" t="s">
        <v>17</v>
      </c>
    </row>
    <row r="36" customFormat="false" ht="15" hidden="false" customHeight="false" outlineLevel="0" collapsed="false">
      <c r="A36" s="4" t="s">
        <v>54</v>
      </c>
      <c r="B36" s="4" t="s">
        <v>55</v>
      </c>
      <c r="C36" s="4" t="s">
        <v>56</v>
      </c>
      <c r="D36" s="4" t="s">
        <v>39</v>
      </c>
      <c r="E36" s="4" t="s">
        <v>19</v>
      </c>
      <c r="F36" s="4" t="n">
        <v>3</v>
      </c>
      <c r="G36" s="4" t="n">
        <v>2</v>
      </c>
      <c r="H36" s="4" t="n">
        <v>9</v>
      </c>
      <c r="I36" s="4" t="n">
        <v>3</v>
      </c>
      <c r="J36" s="4" t="n">
        <f aca="false">G36+I36</f>
        <v>5</v>
      </c>
      <c r="K36" s="4" t="n">
        <f aca="false">IF(H36&lt;=0,"",ROUND(J36/(H36/45),0))</f>
        <v>25</v>
      </c>
    </row>
    <row r="37" customFormat="false" ht="15" hidden="false" customHeight="false" outlineLevel="0" collapsed="false">
      <c r="A37" s="4" t="s">
        <v>57</v>
      </c>
      <c r="B37" s="4" t="s">
        <v>58</v>
      </c>
      <c r="C37" s="4" t="s">
        <v>59</v>
      </c>
      <c r="D37" s="4" t="s">
        <v>18</v>
      </c>
      <c r="E37" s="4" t="s">
        <v>19</v>
      </c>
      <c r="F37" s="4" t="n">
        <v>1</v>
      </c>
      <c r="G37" s="4" t="n">
        <v>0</v>
      </c>
      <c r="H37" s="4" t="n">
        <v>12</v>
      </c>
      <c r="I37" s="4" t="n">
        <v>3</v>
      </c>
      <c r="J37" s="4" t="n">
        <f aca="false">G37+I37</f>
        <v>3</v>
      </c>
      <c r="K37" s="4" t="n">
        <f aca="false">IF(H37&lt;=0,"",ROUND(J37/(H37/45),0))</f>
        <v>11</v>
      </c>
    </row>
    <row r="38" customFormat="false" ht="15" hidden="false" customHeight="false" outlineLevel="0" collapsed="false">
      <c r="A38" s="4" t="s">
        <v>60</v>
      </c>
      <c r="B38" s="4" t="s">
        <v>61</v>
      </c>
      <c r="C38" s="4" t="s">
        <v>62</v>
      </c>
      <c r="D38" s="4" t="s">
        <v>18</v>
      </c>
      <c r="E38" s="4" t="s">
        <v>19</v>
      </c>
      <c r="F38" s="4" t="n">
        <v>0</v>
      </c>
      <c r="G38" s="4" t="n">
        <v>0</v>
      </c>
      <c r="H38" s="4" t="n">
        <v>6.7</v>
      </c>
      <c r="I38" s="4" t="n">
        <v>2</v>
      </c>
      <c r="J38" s="4" t="n">
        <f aca="false">G38+I38</f>
        <v>2</v>
      </c>
      <c r="K38" s="4" t="n">
        <f aca="false">IF(H38&lt;=0,"",ROUND(J38/(H38/45),0))</f>
        <v>13</v>
      </c>
    </row>
    <row r="39" customFormat="false" ht="15" hidden="false" customHeight="false" outlineLevel="0" collapsed="false">
      <c r="A39" s="4" t="s">
        <v>60</v>
      </c>
      <c r="B39" s="4" t="s">
        <v>61</v>
      </c>
      <c r="C39" s="4" t="s">
        <v>62</v>
      </c>
      <c r="D39" s="4" t="s">
        <v>39</v>
      </c>
      <c r="E39" s="4" t="s">
        <v>19</v>
      </c>
      <c r="F39" s="4" t="n">
        <v>0</v>
      </c>
      <c r="G39" s="4" t="n">
        <v>0</v>
      </c>
      <c r="H39" s="4" t="n">
        <v>6</v>
      </c>
      <c r="I39" s="4" t="n">
        <v>2</v>
      </c>
      <c r="J39" s="4" t="n">
        <f aca="false">G39+I39</f>
        <v>2</v>
      </c>
      <c r="K39" s="4" t="n">
        <f aca="false">IF(H39&lt;=0,"",ROUND(J39/(H39/45),0))</f>
        <v>15</v>
      </c>
    </row>
    <row r="40" customFormat="false" ht="15" hidden="false" customHeight="false" outlineLevel="0" collapsed="false">
      <c r="A40" s="3" t="s">
        <v>63</v>
      </c>
      <c r="B40" s="3" t="s">
        <v>64</v>
      </c>
      <c r="C40" s="3" t="s">
        <v>65</v>
      </c>
      <c r="D40" s="3" t="s">
        <v>15</v>
      </c>
      <c r="E40" s="3" t="s">
        <v>16</v>
      </c>
      <c r="F40" s="3" t="s">
        <v>17</v>
      </c>
      <c r="G40" s="3" t="s">
        <v>17</v>
      </c>
      <c r="H40" s="3" t="s">
        <v>17</v>
      </c>
      <c r="I40" s="3" t="n">
        <v>7</v>
      </c>
      <c r="J40" s="3" t="s">
        <v>17</v>
      </c>
      <c r="K40" s="3" t="s">
        <v>17</v>
      </c>
    </row>
    <row r="41" customFormat="false" ht="15" hidden="false" customHeight="false" outlineLevel="0" collapsed="false">
      <c r="A41" s="4" t="s">
        <v>63</v>
      </c>
      <c r="B41" s="4" t="s">
        <v>64</v>
      </c>
      <c r="C41" s="4" t="s">
        <v>65</v>
      </c>
      <c r="D41" s="4" t="s">
        <v>32</v>
      </c>
      <c r="E41" s="4" t="s">
        <v>19</v>
      </c>
      <c r="F41" s="4" t="n">
        <v>2</v>
      </c>
      <c r="G41" s="4" t="n">
        <v>0</v>
      </c>
      <c r="H41" s="4" t="n">
        <v>6</v>
      </c>
      <c r="I41" s="4" t="n">
        <v>5</v>
      </c>
      <c r="J41" s="4" t="n">
        <f aca="false">G41+I41</f>
        <v>5</v>
      </c>
      <c r="K41" s="4" t="n">
        <f aca="false">IF(H41&lt;=0,"",ROUND(J41/(H41/45),0))</f>
        <v>38</v>
      </c>
    </row>
    <row r="42" customFormat="false" ht="15" hidden="false" customHeight="false" outlineLevel="0" collapsed="false">
      <c r="A42" s="3" t="s">
        <v>63</v>
      </c>
      <c r="B42" s="3" t="s">
        <v>64</v>
      </c>
      <c r="C42" s="3" t="s">
        <v>65</v>
      </c>
      <c r="D42" s="3" t="s">
        <v>33</v>
      </c>
      <c r="E42" s="3" t="s">
        <v>16</v>
      </c>
      <c r="F42" s="3" t="s">
        <v>17</v>
      </c>
      <c r="G42" s="3" t="s">
        <v>17</v>
      </c>
      <c r="H42" s="3" t="s">
        <v>17</v>
      </c>
      <c r="I42" s="3" t="n">
        <v>3</v>
      </c>
      <c r="J42" s="3" t="s">
        <v>17</v>
      </c>
      <c r="K42" s="3" t="s">
        <v>17</v>
      </c>
    </row>
    <row r="43" customFormat="false" ht="15" hidden="false" customHeight="false" outlineLevel="0" collapsed="false">
      <c r="A43" s="4" t="s">
        <v>63</v>
      </c>
      <c r="B43" s="4" t="s">
        <v>64</v>
      </c>
      <c r="C43" s="4" t="s">
        <v>65</v>
      </c>
      <c r="D43" s="4" t="s">
        <v>66</v>
      </c>
      <c r="E43" s="4" t="s">
        <v>19</v>
      </c>
      <c r="F43" s="4" t="n">
        <v>4</v>
      </c>
      <c r="G43" s="4" t="n">
        <v>0</v>
      </c>
      <c r="H43" s="4" t="n">
        <v>12</v>
      </c>
      <c r="I43" s="4" t="n">
        <v>10</v>
      </c>
      <c r="J43" s="4" t="n">
        <f aca="false">G43+I43</f>
        <v>10</v>
      </c>
      <c r="K43" s="4" t="n">
        <f aca="false">IF(H43&lt;=0,"",ROUND(J43/(H43/45),0))</f>
        <v>38</v>
      </c>
    </row>
    <row r="44" customFormat="false" ht="15" hidden="false" customHeight="false" outlineLevel="0" collapsed="false">
      <c r="A44" s="4" t="s">
        <v>67</v>
      </c>
      <c r="B44" s="4" t="s">
        <v>68</v>
      </c>
      <c r="C44" s="4" t="s">
        <v>69</v>
      </c>
      <c r="D44" s="4" t="s">
        <v>30</v>
      </c>
      <c r="E44" s="4" t="s">
        <v>19</v>
      </c>
      <c r="F44" s="4" t="n">
        <v>7</v>
      </c>
      <c r="G44" s="4" t="n">
        <v>8</v>
      </c>
      <c r="H44" s="4" t="n">
        <v>21</v>
      </c>
      <c r="I44" s="4" t="n">
        <v>12</v>
      </c>
      <c r="J44" s="4" t="n">
        <f aca="false">G44+I44</f>
        <v>20</v>
      </c>
      <c r="K44" s="4" t="n">
        <f aca="false">IF(H44&lt;=0,"",ROUND(J44/(H44/45),0))</f>
        <v>43</v>
      </c>
    </row>
    <row r="45" customFormat="false" ht="15" hidden="false" customHeight="false" outlineLevel="0" collapsed="false">
      <c r="A45" s="3" t="s">
        <v>67</v>
      </c>
      <c r="B45" s="3" t="s">
        <v>68</v>
      </c>
      <c r="C45" s="3" t="s">
        <v>69</v>
      </c>
      <c r="D45" s="3" t="s">
        <v>15</v>
      </c>
      <c r="E45" s="3" t="s">
        <v>16</v>
      </c>
      <c r="F45" s="3" t="s">
        <v>17</v>
      </c>
      <c r="G45" s="3" t="s">
        <v>17</v>
      </c>
      <c r="H45" s="3" t="s">
        <v>17</v>
      </c>
      <c r="I45" s="3" t="n">
        <v>8</v>
      </c>
      <c r="J45" s="3" t="s">
        <v>17</v>
      </c>
      <c r="K45" s="3" t="s">
        <v>17</v>
      </c>
    </row>
    <row r="46" customFormat="false" ht="15" hidden="false" customHeight="false" outlineLevel="0" collapsed="false">
      <c r="A46" s="3" t="s">
        <v>67</v>
      </c>
      <c r="B46" s="3" t="s">
        <v>68</v>
      </c>
      <c r="C46" s="3" t="s">
        <v>69</v>
      </c>
      <c r="D46" s="3" t="s">
        <v>33</v>
      </c>
      <c r="E46" s="3" t="s">
        <v>16</v>
      </c>
      <c r="F46" s="3" t="s">
        <v>17</v>
      </c>
      <c r="G46" s="3" t="s">
        <v>17</v>
      </c>
      <c r="H46" s="3" t="s">
        <v>17</v>
      </c>
      <c r="I46" s="3" t="n">
        <v>3</v>
      </c>
      <c r="J46" s="3" t="s">
        <v>17</v>
      </c>
      <c r="K46" s="3" t="s">
        <v>17</v>
      </c>
    </row>
    <row r="47" customFormat="false" ht="15" hidden="false" customHeight="false" outlineLevel="0" collapsed="false">
      <c r="A47" s="4" t="s">
        <v>67</v>
      </c>
      <c r="B47" s="4" t="s">
        <v>68</v>
      </c>
      <c r="C47" s="4" t="s">
        <v>69</v>
      </c>
      <c r="D47" s="4" t="s">
        <v>18</v>
      </c>
      <c r="E47" s="4" t="s">
        <v>19</v>
      </c>
      <c r="F47" s="4" t="n">
        <v>1</v>
      </c>
      <c r="G47" s="4" t="n">
        <v>0</v>
      </c>
      <c r="H47" s="4" t="n">
        <v>15</v>
      </c>
      <c r="I47" s="4" t="n">
        <v>2</v>
      </c>
      <c r="J47" s="4" t="n">
        <f aca="false">G47+I47</f>
        <v>2</v>
      </c>
      <c r="K47" s="4" t="n">
        <f aca="false">IF(H47&lt;=0,"",ROUND(J47/(H47/45),0))</f>
        <v>6</v>
      </c>
    </row>
    <row r="48" customFormat="false" ht="15" hidden="false" customHeight="false" outlineLevel="0" collapsed="false">
      <c r="A48" s="4" t="s">
        <v>67</v>
      </c>
      <c r="B48" s="4" t="s">
        <v>68</v>
      </c>
      <c r="C48" s="4" t="s">
        <v>69</v>
      </c>
      <c r="D48" s="4" t="s">
        <v>70</v>
      </c>
      <c r="E48" s="4" t="s">
        <v>19</v>
      </c>
      <c r="F48" s="4" t="n">
        <v>4</v>
      </c>
      <c r="G48" s="4" t="n">
        <v>5</v>
      </c>
      <c r="H48" s="4" t="n">
        <v>12</v>
      </c>
      <c r="I48" s="4" t="n">
        <v>6</v>
      </c>
      <c r="J48" s="4" t="n">
        <f aca="false">G48+I48</f>
        <v>11</v>
      </c>
      <c r="K48" s="4" t="n">
        <f aca="false">IF(H48&lt;=0,"",ROUND(J48/(H48/45),0))</f>
        <v>41</v>
      </c>
    </row>
    <row r="49" customFormat="false" ht="15" hidden="false" customHeight="false" outlineLevel="0" collapsed="false">
      <c r="A49" s="4" t="s">
        <v>71</v>
      </c>
      <c r="B49" s="4" t="s">
        <v>72</v>
      </c>
      <c r="C49" s="4" t="s">
        <v>73</v>
      </c>
      <c r="D49" s="4" t="s">
        <v>74</v>
      </c>
      <c r="E49" s="4" t="s">
        <v>19</v>
      </c>
      <c r="F49" s="4" t="n">
        <v>18</v>
      </c>
      <c r="G49" s="4" t="n">
        <v>0</v>
      </c>
      <c r="H49" s="4" t="n">
        <v>58.9</v>
      </c>
      <c r="I49" s="4" t="n">
        <v>2</v>
      </c>
      <c r="J49" s="4" t="n">
        <f aca="false">G49+I49</f>
        <v>2</v>
      </c>
      <c r="K49" s="4" t="n">
        <f aca="false">IF(H49&lt;=0,"",ROUND(J49/(H49/45),0))</f>
        <v>2</v>
      </c>
    </row>
    <row r="50" customFormat="false" ht="15" hidden="false" customHeight="false" outlineLevel="0" collapsed="false">
      <c r="A50" s="4" t="s">
        <v>71</v>
      </c>
      <c r="B50" s="4" t="s">
        <v>72</v>
      </c>
      <c r="C50" s="4" t="s">
        <v>73</v>
      </c>
      <c r="D50" s="4" t="s">
        <v>30</v>
      </c>
      <c r="E50" s="4" t="s">
        <v>19</v>
      </c>
      <c r="F50" s="4" t="n">
        <v>17</v>
      </c>
      <c r="G50" s="4" t="n">
        <v>1</v>
      </c>
      <c r="H50" s="4" t="n">
        <v>57.6</v>
      </c>
      <c r="I50" s="4" t="n">
        <v>2</v>
      </c>
      <c r="J50" s="4" t="n">
        <f aca="false">G50+I50</f>
        <v>3</v>
      </c>
      <c r="K50" s="4" t="n">
        <f aca="false">IF(H50&lt;=0,"",ROUND(J50/(H50/45),0))</f>
        <v>2</v>
      </c>
    </row>
    <row r="51" customFormat="false" ht="15" hidden="false" customHeight="false" outlineLevel="0" collapsed="false">
      <c r="A51" s="4" t="s">
        <v>71</v>
      </c>
      <c r="B51" s="4" t="s">
        <v>72</v>
      </c>
      <c r="C51" s="4" t="s">
        <v>73</v>
      </c>
      <c r="D51" s="4" t="s">
        <v>31</v>
      </c>
      <c r="E51" s="4" t="s">
        <v>19</v>
      </c>
      <c r="F51" s="4" t="n">
        <v>2</v>
      </c>
      <c r="G51" s="4" t="n">
        <v>0</v>
      </c>
      <c r="H51" s="4" t="n">
        <v>10.8</v>
      </c>
      <c r="I51" s="4" t="n">
        <v>2</v>
      </c>
      <c r="J51" s="4" t="n">
        <f aca="false">G51+I51</f>
        <v>2</v>
      </c>
      <c r="K51" s="4" t="n">
        <f aca="false">IF(H51&lt;=0,"",ROUND(J51/(H51/45),0))</f>
        <v>8</v>
      </c>
    </row>
    <row r="52" customFormat="false" ht="15" hidden="false" customHeight="false" outlineLevel="0" collapsed="false">
      <c r="A52" s="4" t="s">
        <v>71</v>
      </c>
      <c r="B52" s="4" t="s">
        <v>72</v>
      </c>
      <c r="C52" s="4" t="s">
        <v>73</v>
      </c>
      <c r="D52" s="4" t="s">
        <v>75</v>
      </c>
      <c r="E52" s="4" t="s">
        <v>19</v>
      </c>
      <c r="F52" s="4" t="n">
        <v>3</v>
      </c>
      <c r="G52" s="4" t="n">
        <v>0</v>
      </c>
      <c r="H52" s="4" t="n">
        <v>17.3</v>
      </c>
      <c r="I52" s="4" t="n">
        <v>8</v>
      </c>
      <c r="J52" s="4" t="n">
        <f aca="false">G52+I52</f>
        <v>8</v>
      </c>
      <c r="K52" s="4" t="n">
        <f aca="false">IF(H52&lt;=0,"",ROUND(J52/(H52/45),0))</f>
        <v>21</v>
      </c>
    </row>
    <row r="53" customFormat="false" ht="15" hidden="false" customHeight="false" outlineLevel="0" collapsed="false">
      <c r="A53" s="4" t="s">
        <v>71</v>
      </c>
      <c r="B53" s="4" t="s">
        <v>72</v>
      </c>
      <c r="C53" s="4" t="s">
        <v>73</v>
      </c>
      <c r="D53" s="4" t="s">
        <v>76</v>
      </c>
      <c r="E53" s="4" t="s">
        <v>19</v>
      </c>
      <c r="F53" s="4" t="n">
        <v>16</v>
      </c>
      <c r="G53" s="4" t="n">
        <v>0</v>
      </c>
      <c r="H53" s="4" t="n">
        <v>48</v>
      </c>
      <c r="I53" s="4" t="n">
        <v>23</v>
      </c>
      <c r="J53" s="4" t="n">
        <f aca="false">G53+I53</f>
        <v>23</v>
      </c>
      <c r="K53" s="4" t="n">
        <f aca="false">IF(H53&lt;=0,"",ROUND(J53/(H53/45),0))</f>
        <v>22</v>
      </c>
    </row>
    <row r="54" customFormat="false" ht="15" hidden="false" customHeight="false" outlineLevel="0" collapsed="false">
      <c r="A54" s="3" t="s">
        <v>71</v>
      </c>
      <c r="B54" s="3" t="s">
        <v>72</v>
      </c>
      <c r="C54" s="3" t="s">
        <v>73</v>
      </c>
      <c r="D54" s="3" t="s">
        <v>15</v>
      </c>
      <c r="E54" s="3" t="s">
        <v>16</v>
      </c>
      <c r="F54" s="3" t="s">
        <v>17</v>
      </c>
      <c r="G54" s="3" t="s">
        <v>17</v>
      </c>
      <c r="H54" s="3" t="s">
        <v>17</v>
      </c>
      <c r="I54" s="3" t="n">
        <v>74</v>
      </c>
      <c r="J54" s="3" t="s">
        <v>17</v>
      </c>
      <c r="K54" s="3" t="s">
        <v>17</v>
      </c>
    </row>
    <row r="55" customFormat="false" ht="15" hidden="false" customHeight="false" outlineLevel="0" collapsed="false">
      <c r="A55" s="4" t="s">
        <v>71</v>
      </c>
      <c r="B55" s="4" t="s">
        <v>72</v>
      </c>
      <c r="C55" s="4" t="s">
        <v>73</v>
      </c>
      <c r="D55" s="4" t="s">
        <v>32</v>
      </c>
      <c r="E55" s="4" t="s">
        <v>19</v>
      </c>
      <c r="F55" s="4" t="n">
        <v>3</v>
      </c>
      <c r="G55" s="4" t="n">
        <v>0</v>
      </c>
      <c r="H55" s="4" t="n">
        <v>17.1</v>
      </c>
      <c r="I55" s="4" t="n">
        <v>6</v>
      </c>
      <c r="J55" s="4" t="n">
        <f aca="false">G55+I55</f>
        <v>6</v>
      </c>
      <c r="K55" s="4" t="n">
        <f aca="false">IF(H55&lt;=0,"",ROUND(J55/(H55/45),0))</f>
        <v>16</v>
      </c>
    </row>
    <row r="56" customFormat="false" ht="15" hidden="false" customHeight="false" outlineLevel="0" collapsed="false">
      <c r="A56" s="3" t="s">
        <v>71</v>
      </c>
      <c r="B56" s="3" t="s">
        <v>72</v>
      </c>
      <c r="C56" s="3" t="s">
        <v>73</v>
      </c>
      <c r="D56" s="3" t="s">
        <v>33</v>
      </c>
      <c r="E56" s="3" t="s">
        <v>16</v>
      </c>
      <c r="F56" s="3" t="s">
        <v>17</v>
      </c>
      <c r="G56" s="3" t="s">
        <v>17</v>
      </c>
      <c r="H56" s="3" t="s">
        <v>17</v>
      </c>
      <c r="I56" s="3" t="n">
        <v>33</v>
      </c>
      <c r="J56" s="3" t="s">
        <v>17</v>
      </c>
      <c r="K56" s="3" t="s">
        <v>17</v>
      </c>
    </row>
    <row r="57" customFormat="false" ht="15" hidden="false" customHeight="false" outlineLevel="0" collapsed="false">
      <c r="A57" s="4" t="s">
        <v>71</v>
      </c>
      <c r="B57" s="4" t="s">
        <v>72</v>
      </c>
      <c r="C57" s="4" t="s">
        <v>73</v>
      </c>
      <c r="D57" s="4" t="s">
        <v>77</v>
      </c>
      <c r="E57" s="4" t="s">
        <v>19</v>
      </c>
      <c r="F57" s="4" t="n">
        <v>1</v>
      </c>
      <c r="G57" s="4" t="n">
        <v>1</v>
      </c>
      <c r="H57" s="4" t="n">
        <v>8.3</v>
      </c>
      <c r="I57" s="4" t="n">
        <v>3</v>
      </c>
      <c r="J57" s="4" t="n">
        <f aca="false">G57+I57</f>
        <v>4</v>
      </c>
      <c r="K57" s="4" t="n">
        <f aca="false">IF(H57&lt;=0,"",ROUND(J57/(H57/45),0))</f>
        <v>22</v>
      </c>
    </row>
    <row r="58" customFormat="false" ht="15" hidden="false" customHeight="false" outlineLevel="0" collapsed="false">
      <c r="A58" s="4" t="s">
        <v>71</v>
      </c>
      <c r="B58" s="4" t="s">
        <v>72</v>
      </c>
      <c r="C58" s="4" t="s">
        <v>73</v>
      </c>
      <c r="D58" s="4" t="s">
        <v>66</v>
      </c>
      <c r="E58" s="4" t="s">
        <v>19</v>
      </c>
      <c r="F58" s="4" t="n">
        <v>0</v>
      </c>
      <c r="G58" s="4" t="n">
        <v>1</v>
      </c>
      <c r="H58" s="4" t="n">
        <v>7.8</v>
      </c>
      <c r="I58" s="4" t="n">
        <v>3</v>
      </c>
      <c r="J58" s="4" t="n">
        <f aca="false">G58+I58</f>
        <v>4</v>
      </c>
      <c r="K58" s="4" t="n">
        <f aca="false">IF(H58&lt;=0,"",ROUND(J58/(H58/45),0))</f>
        <v>23</v>
      </c>
    </row>
    <row r="59" customFormat="false" ht="15" hidden="false" customHeight="false" outlineLevel="0" collapsed="false">
      <c r="A59" s="4" t="s">
        <v>71</v>
      </c>
      <c r="B59" s="4" t="s">
        <v>72</v>
      </c>
      <c r="C59" s="4" t="s">
        <v>73</v>
      </c>
      <c r="D59" s="4" t="s">
        <v>53</v>
      </c>
      <c r="E59" s="4" t="s">
        <v>19</v>
      </c>
      <c r="F59" s="4" t="n">
        <v>8</v>
      </c>
      <c r="G59" s="4" t="n">
        <v>3</v>
      </c>
      <c r="H59" s="4" t="n">
        <v>47.2</v>
      </c>
      <c r="I59" s="4" t="n">
        <v>21</v>
      </c>
      <c r="J59" s="4" t="n">
        <f aca="false">G59+I59</f>
        <v>24</v>
      </c>
      <c r="K59" s="4" t="n">
        <f aca="false">IF(H59&lt;=0,"",ROUND(J59/(H59/45),0))</f>
        <v>23</v>
      </c>
    </row>
    <row r="60" customFormat="false" ht="15" hidden="false" customHeight="false" outlineLevel="0" collapsed="false">
      <c r="A60" s="4" t="s">
        <v>71</v>
      </c>
      <c r="B60" s="4" t="s">
        <v>72</v>
      </c>
      <c r="C60" s="4" t="s">
        <v>73</v>
      </c>
      <c r="D60" s="4" t="s">
        <v>35</v>
      </c>
      <c r="E60" s="4" t="s">
        <v>19</v>
      </c>
      <c r="F60" s="4" t="n">
        <v>18</v>
      </c>
      <c r="G60" s="4" t="n">
        <v>9</v>
      </c>
      <c r="H60" s="4" t="n">
        <v>54</v>
      </c>
      <c r="I60" s="4" t="n">
        <v>21</v>
      </c>
      <c r="J60" s="4" t="n">
        <f aca="false">G60+I60</f>
        <v>30</v>
      </c>
      <c r="K60" s="4" t="n">
        <f aca="false">IF(H60&lt;=0,"",ROUND(J60/(H60/45),0))</f>
        <v>25</v>
      </c>
    </row>
    <row r="61" customFormat="false" ht="15" hidden="false" customHeight="false" outlineLevel="0" collapsed="false">
      <c r="A61" s="4" t="s">
        <v>71</v>
      </c>
      <c r="B61" s="4" t="s">
        <v>72</v>
      </c>
      <c r="C61" s="4" t="s">
        <v>73</v>
      </c>
      <c r="D61" s="4" t="s">
        <v>78</v>
      </c>
      <c r="E61" s="4" t="s">
        <v>19</v>
      </c>
      <c r="F61" s="4" t="n">
        <v>2</v>
      </c>
      <c r="G61" s="4" t="n">
        <v>0</v>
      </c>
      <c r="H61" s="4" t="n">
        <v>9.8</v>
      </c>
      <c r="I61" s="4" t="n">
        <v>5</v>
      </c>
      <c r="J61" s="4" t="n">
        <f aca="false">G61+I61</f>
        <v>5</v>
      </c>
      <c r="K61" s="4" t="n">
        <f aca="false">IF(H61&lt;=0,"",ROUND(J61/(H61/45),0))</f>
        <v>23</v>
      </c>
    </row>
    <row r="62" customFormat="false" ht="15" hidden="false" customHeight="false" outlineLevel="0" collapsed="false">
      <c r="A62" s="4" t="s">
        <v>71</v>
      </c>
      <c r="B62" s="4" t="s">
        <v>72</v>
      </c>
      <c r="C62" s="4" t="s">
        <v>73</v>
      </c>
      <c r="D62" s="4" t="s">
        <v>18</v>
      </c>
      <c r="E62" s="4" t="s">
        <v>19</v>
      </c>
      <c r="F62" s="4" t="n">
        <v>1</v>
      </c>
      <c r="G62" s="4" t="n">
        <v>0</v>
      </c>
      <c r="H62" s="4" t="n">
        <v>16</v>
      </c>
      <c r="I62" s="4" t="n">
        <v>2</v>
      </c>
      <c r="J62" s="4" t="n">
        <f aca="false">G62+I62</f>
        <v>2</v>
      </c>
      <c r="K62" s="4" t="n">
        <f aca="false">IF(H62&lt;=0,"",ROUND(J62/(H62/45),0))</f>
        <v>6</v>
      </c>
    </row>
    <row r="63" customFormat="false" ht="15" hidden="false" customHeight="false" outlineLevel="0" collapsed="false">
      <c r="A63" s="4" t="s">
        <v>71</v>
      </c>
      <c r="B63" s="4" t="s">
        <v>72</v>
      </c>
      <c r="C63" s="4" t="s">
        <v>73</v>
      </c>
      <c r="D63" s="4" t="s">
        <v>39</v>
      </c>
      <c r="E63" s="4" t="s">
        <v>19</v>
      </c>
      <c r="F63" s="4" t="n">
        <v>6</v>
      </c>
      <c r="G63" s="4" t="n">
        <v>0</v>
      </c>
      <c r="H63" s="4" t="n">
        <v>29.1</v>
      </c>
      <c r="I63" s="4" t="n">
        <v>14</v>
      </c>
      <c r="J63" s="4" t="n">
        <f aca="false">G63+I63</f>
        <v>14</v>
      </c>
      <c r="K63" s="4" t="n">
        <f aca="false">IF(H63&lt;=0,"",ROUND(J63/(H63/45),0))</f>
        <v>22</v>
      </c>
    </row>
    <row r="64" customFormat="false" ht="15" hidden="false" customHeight="false" outlineLevel="0" collapsed="false">
      <c r="A64" s="4" t="s">
        <v>71</v>
      </c>
      <c r="B64" s="4" t="s">
        <v>72</v>
      </c>
      <c r="C64" s="4" t="s">
        <v>73</v>
      </c>
      <c r="D64" s="4" t="s">
        <v>40</v>
      </c>
      <c r="E64" s="4" t="s">
        <v>19</v>
      </c>
      <c r="F64" s="4" t="n">
        <v>23</v>
      </c>
      <c r="G64" s="4" t="n">
        <v>0</v>
      </c>
      <c r="H64" s="4" t="n">
        <v>76.5</v>
      </c>
      <c r="I64" s="4" t="n">
        <v>2</v>
      </c>
      <c r="J64" s="4" t="n">
        <f aca="false">G64+I64</f>
        <v>2</v>
      </c>
      <c r="K64" s="4" t="n">
        <f aca="false">IF(H64&lt;=0,"",ROUND(J64/(H64/45),0))</f>
        <v>1</v>
      </c>
    </row>
    <row r="65" customFormat="false" ht="15" hidden="false" customHeight="false" outlineLevel="0" collapsed="false">
      <c r="A65" s="4" t="s">
        <v>79</v>
      </c>
      <c r="B65" s="4" t="s">
        <v>80</v>
      </c>
      <c r="C65" s="4" t="s">
        <v>81</v>
      </c>
      <c r="D65" s="4" t="s">
        <v>82</v>
      </c>
      <c r="E65" s="4" t="s">
        <v>19</v>
      </c>
      <c r="F65" s="4" t="n">
        <v>0</v>
      </c>
      <c r="G65" s="4" t="n">
        <v>1</v>
      </c>
      <c r="H65" s="4" t="n">
        <v>6.6</v>
      </c>
      <c r="I65" s="4" t="n">
        <v>2</v>
      </c>
      <c r="J65" s="4" t="n">
        <f aca="false">G65+I65</f>
        <v>3</v>
      </c>
      <c r="K65" s="4" t="n">
        <f aca="false">IF(H65&lt;=0,"",ROUND(J65/(H65/45),0))</f>
        <v>20</v>
      </c>
    </row>
    <row r="66" customFormat="false" ht="15" hidden="false" customHeight="false" outlineLevel="0" collapsed="false">
      <c r="A66" s="4" t="s">
        <v>79</v>
      </c>
      <c r="B66" s="4" t="s">
        <v>80</v>
      </c>
      <c r="C66" s="4" t="s">
        <v>81</v>
      </c>
      <c r="D66" s="4" t="s">
        <v>74</v>
      </c>
      <c r="E66" s="4" t="s">
        <v>19</v>
      </c>
      <c r="F66" s="4" t="n">
        <v>6</v>
      </c>
      <c r="G66" s="4" t="n">
        <v>1</v>
      </c>
      <c r="H66" s="4" t="n">
        <v>22.1</v>
      </c>
      <c r="I66" s="4" t="n">
        <v>6</v>
      </c>
      <c r="J66" s="4" t="n">
        <f aca="false">G66+I66</f>
        <v>7</v>
      </c>
      <c r="K66" s="4" t="n">
        <f aca="false">IF(H66&lt;=0,"",ROUND(J66/(H66/45),0))</f>
        <v>14</v>
      </c>
    </row>
    <row r="67" customFormat="false" ht="15" hidden="false" customHeight="false" outlineLevel="0" collapsed="false">
      <c r="A67" s="4" t="s">
        <v>79</v>
      </c>
      <c r="B67" s="4" t="s">
        <v>80</v>
      </c>
      <c r="C67" s="4" t="s">
        <v>81</v>
      </c>
      <c r="D67" s="4" t="s">
        <v>31</v>
      </c>
      <c r="E67" s="4" t="s">
        <v>19</v>
      </c>
      <c r="F67" s="4" t="n">
        <v>2</v>
      </c>
      <c r="G67" s="4" t="n">
        <v>0</v>
      </c>
      <c r="H67" s="4" t="n">
        <v>14.9</v>
      </c>
      <c r="I67" s="4" t="n">
        <v>2</v>
      </c>
      <c r="J67" s="4" t="n">
        <f aca="false">G67+I67</f>
        <v>2</v>
      </c>
      <c r="K67" s="4" t="n">
        <f aca="false">IF(H67&lt;=0,"",ROUND(J67/(H67/45),0))</f>
        <v>6</v>
      </c>
    </row>
    <row r="68" customFormat="false" ht="15" hidden="false" customHeight="false" outlineLevel="0" collapsed="false">
      <c r="A68" s="3" t="s">
        <v>79</v>
      </c>
      <c r="B68" s="3" t="s">
        <v>80</v>
      </c>
      <c r="C68" s="3" t="s">
        <v>81</v>
      </c>
      <c r="D68" s="3" t="s">
        <v>15</v>
      </c>
      <c r="E68" s="3" t="s">
        <v>16</v>
      </c>
      <c r="F68" s="3" t="s">
        <v>17</v>
      </c>
      <c r="G68" s="3" t="s">
        <v>17</v>
      </c>
      <c r="H68" s="3" t="s">
        <v>17</v>
      </c>
      <c r="I68" s="3" t="n">
        <v>11</v>
      </c>
      <c r="J68" s="3" t="s">
        <v>17</v>
      </c>
      <c r="K68" s="3" t="s">
        <v>17</v>
      </c>
    </row>
    <row r="69" customFormat="false" ht="15" hidden="false" customHeight="false" outlineLevel="0" collapsed="false">
      <c r="A69" s="4" t="s">
        <v>79</v>
      </c>
      <c r="B69" s="4" t="s">
        <v>80</v>
      </c>
      <c r="C69" s="4" t="s">
        <v>81</v>
      </c>
      <c r="D69" s="4" t="s">
        <v>32</v>
      </c>
      <c r="E69" s="4" t="s">
        <v>19</v>
      </c>
      <c r="F69" s="4" t="n">
        <v>0</v>
      </c>
      <c r="G69" s="4" t="n">
        <v>0</v>
      </c>
      <c r="H69" s="4" t="n">
        <v>6.5</v>
      </c>
      <c r="I69" s="4" t="n">
        <v>2</v>
      </c>
      <c r="J69" s="4" t="n">
        <f aca="false">G69+I69</f>
        <v>2</v>
      </c>
      <c r="K69" s="4" t="n">
        <f aca="false">IF(H69&lt;=0,"",ROUND(J69/(H69/45),0))</f>
        <v>14</v>
      </c>
    </row>
    <row r="70" customFormat="false" ht="15" hidden="false" customHeight="false" outlineLevel="0" collapsed="false">
      <c r="A70" s="3" t="s">
        <v>79</v>
      </c>
      <c r="B70" s="3" t="s">
        <v>80</v>
      </c>
      <c r="C70" s="3" t="s">
        <v>81</v>
      </c>
      <c r="D70" s="3" t="s">
        <v>33</v>
      </c>
      <c r="E70" s="3" t="s">
        <v>16</v>
      </c>
      <c r="F70" s="3" t="s">
        <v>17</v>
      </c>
      <c r="G70" s="3" t="s">
        <v>17</v>
      </c>
      <c r="H70" s="3" t="s">
        <v>17</v>
      </c>
      <c r="I70" s="3" t="n">
        <v>5</v>
      </c>
      <c r="J70" s="3" t="s">
        <v>17</v>
      </c>
      <c r="K70" s="3" t="s">
        <v>17</v>
      </c>
    </row>
    <row r="71" customFormat="false" ht="15" hidden="false" customHeight="false" outlineLevel="0" collapsed="false">
      <c r="A71" s="4" t="s">
        <v>79</v>
      </c>
      <c r="B71" s="4" t="s">
        <v>80</v>
      </c>
      <c r="C71" s="4" t="s">
        <v>81</v>
      </c>
      <c r="D71" s="4" t="s">
        <v>77</v>
      </c>
      <c r="E71" s="4" t="s">
        <v>19</v>
      </c>
      <c r="F71" s="4" t="n">
        <v>1</v>
      </c>
      <c r="G71" s="4" t="n">
        <v>0</v>
      </c>
      <c r="H71" s="4" t="n">
        <v>6.1</v>
      </c>
      <c r="I71" s="4" t="n">
        <v>2</v>
      </c>
      <c r="J71" s="4" t="n">
        <f aca="false">G71+I71</f>
        <v>2</v>
      </c>
      <c r="K71" s="4" t="n">
        <f aca="false">IF(H71&lt;=0,"",ROUND(J71/(H71/45),0))</f>
        <v>15</v>
      </c>
    </row>
    <row r="72" customFormat="false" ht="15" hidden="false" customHeight="false" outlineLevel="0" collapsed="false">
      <c r="A72" s="4" t="s">
        <v>79</v>
      </c>
      <c r="B72" s="4" t="s">
        <v>80</v>
      </c>
      <c r="C72" s="4" t="s">
        <v>81</v>
      </c>
      <c r="D72" s="4" t="s">
        <v>34</v>
      </c>
      <c r="E72" s="4" t="s">
        <v>19</v>
      </c>
      <c r="F72" s="4" t="n">
        <v>1</v>
      </c>
      <c r="G72" s="4" t="n">
        <v>0</v>
      </c>
      <c r="H72" s="4" t="n">
        <v>7.6</v>
      </c>
      <c r="I72" s="4" t="n">
        <v>2</v>
      </c>
      <c r="J72" s="4" t="n">
        <f aca="false">G72+I72</f>
        <v>2</v>
      </c>
      <c r="K72" s="4" t="n">
        <f aca="false">IF(H72&lt;=0,"",ROUND(J72/(H72/45),0))</f>
        <v>12</v>
      </c>
    </row>
    <row r="73" customFormat="false" ht="15" hidden="false" customHeight="false" outlineLevel="0" collapsed="false">
      <c r="A73" s="4" t="s">
        <v>79</v>
      </c>
      <c r="B73" s="4" t="s">
        <v>80</v>
      </c>
      <c r="C73" s="4" t="s">
        <v>81</v>
      </c>
      <c r="D73" s="4" t="s">
        <v>53</v>
      </c>
      <c r="E73" s="4" t="s">
        <v>19</v>
      </c>
      <c r="F73" s="4" t="n">
        <v>0</v>
      </c>
      <c r="G73" s="4" t="n">
        <v>1</v>
      </c>
      <c r="H73" s="4" t="n">
        <v>6.6</v>
      </c>
      <c r="I73" s="4" t="n">
        <v>2</v>
      </c>
      <c r="J73" s="4" t="n">
        <f aca="false">G73+I73</f>
        <v>3</v>
      </c>
      <c r="K73" s="4" t="n">
        <f aca="false">IF(H73&lt;=0,"",ROUND(J73/(H73/45),0))</f>
        <v>20</v>
      </c>
    </row>
    <row r="74" customFormat="false" ht="15" hidden="false" customHeight="false" outlineLevel="0" collapsed="false">
      <c r="A74" s="4" t="s">
        <v>79</v>
      </c>
      <c r="B74" s="4" t="s">
        <v>80</v>
      </c>
      <c r="C74" s="4" t="s">
        <v>81</v>
      </c>
      <c r="D74" s="4" t="s">
        <v>78</v>
      </c>
      <c r="E74" s="4" t="s">
        <v>19</v>
      </c>
      <c r="F74" s="4" t="n">
        <v>1</v>
      </c>
      <c r="G74" s="4" t="n">
        <v>0</v>
      </c>
      <c r="H74" s="4" t="n">
        <v>7.2</v>
      </c>
      <c r="I74" s="4" t="n">
        <v>2</v>
      </c>
      <c r="J74" s="4" t="n">
        <f aca="false">G74+I74</f>
        <v>2</v>
      </c>
      <c r="K74" s="4" t="n">
        <f aca="false">IF(H74&lt;=0,"",ROUND(J74/(H74/45),0))</f>
        <v>13</v>
      </c>
    </row>
    <row r="75" customFormat="false" ht="15" hidden="false" customHeight="false" outlineLevel="0" collapsed="false">
      <c r="A75" s="4" t="s">
        <v>79</v>
      </c>
      <c r="B75" s="4" t="s">
        <v>80</v>
      </c>
      <c r="C75" s="4" t="s">
        <v>81</v>
      </c>
      <c r="D75" s="4" t="s">
        <v>18</v>
      </c>
      <c r="E75" s="4" t="s">
        <v>19</v>
      </c>
      <c r="F75" s="4" t="n">
        <v>0</v>
      </c>
      <c r="G75" s="4" t="n">
        <v>0</v>
      </c>
      <c r="H75" s="4" t="n">
        <v>10.2</v>
      </c>
      <c r="I75" s="4" t="n">
        <v>3</v>
      </c>
      <c r="J75" s="4" t="n">
        <f aca="false">G75+I75</f>
        <v>3</v>
      </c>
      <c r="K75" s="4" t="n">
        <f aca="false">IF(H75&lt;=0,"",ROUND(J75/(H75/45),0))</f>
        <v>13</v>
      </c>
    </row>
    <row r="76" customFormat="false" ht="15" hidden="false" customHeight="false" outlineLevel="0" collapsed="false">
      <c r="A76" s="4" t="s">
        <v>79</v>
      </c>
      <c r="B76" s="4" t="s">
        <v>80</v>
      </c>
      <c r="C76" s="4" t="s">
        <v>81</v>
      </c>
      <c r="D76" s="4" t="s">
        <v>39</v>
      </c>
      <c r="E76" s="4" t="s">
        <v>19</v>
      </c>
      <c r="F76" s="4" t="n">
        <v>0</v>
      </c>
      <c r="G76" s="4" t="n">
        <v>1</v>
      </c>
      <c r="H76" s="4" t="n">
        <v>10.6</v>
      </c>
      <c r="I76" s="4" t="n">
        <v>3</v>
      </c>
      <c r="J76" s="4" t="n">
        <f aca="false">G76+I76</f>
        <v>4</v>
      </c>
      <c r="K76" s="4" t="n">
        <f aca="false">IF(H76&lt;=0,"",ROUND(J76/(H76/45),0))</f>
        <v>17</v>
      </c>
    </row>
    <row r="77" customFormat="false" ht="15" hidden="false" customHeight="false" outlineLevel="0" collapsed="false">
      <c r="A77" s="4" t="s">
        <v>79</v>
      </c>
      <c r="B77" s="4" t="s">
        <v>80</v>
      </c>
      <c r="C77" s="4" t="s">
        <v>81</v>
      </c>
      <c r="D77" s="4" t="s">
        <v>70</v>
      </c>
      <c r="E77" s="4" t="s">
        <v>19</v>
      </c>
      <c r="F77" s="4" t="n">
        <v>0</v>
      </c>
      <c r="G77" s="4" t="n">
        <v>1</v>
      </c>
      <c r="H77" s="4" t="n">
        <v>6.2</v>
      </c>
      <c r="I77" s="4" t="n">
        <v>2</v>
      </c>
      <c r="J77" s="4" t="n">
        <f aca="false">G77+I77</f>
        <v>3</v>
      </c>
      <c r="K77" s="4" t="n">
        <f aca="false">IF(H77&lt;=0,"",ROUND(J77/(H77/45),0))</f>
        <v>22</v>
      </c>
    </row>
    <row r="78" customFormat="false" ht="15" hidden="false" customHeight="false" outlineLevel="0" collapsed="false">
      <c r="A78" s="4" t="s">
        <v>79</v>
      </c>
      <c r="B78" s="4" t="s">
        <v>80</v>
      </c>
      <c r="C78" s="4" t="s">
        <v>81</v>
      </c>
      <c r="D78" s="4" t="s">
        <v>40</v>
      </c>
      <c r="E78" s="4" t="s">
        <v>19</v>
      </c>
      <c r="F78" s="4" t="n">
        <v>1</v>
      </c>
      <c r="G78" s="4" t="n">
        <v>0</v>
      </c>
      <c r="H78" s="4" t="n">
        <v>11.7</v>
      </c>
      <c r="I78" s="4" t="n">
        <v>3</v>
      </c>
      <c r="J78" s="4" t="n">
        <f aca="false">G78+I78</f>
        <v>3</v>
      </c>
      <c r="K78" s="4" t="n">
        <f aca="false">IF(H78&lt;=0,"",ROUND(J78/(H78/45),0))</f>
        <v>12</v>
      </c>
    </row>
    <row r="79" customFormat="false" ht="15" hidden="false" customHeight="false" outlineLevel="0" collapsed="false">
      <c r="A79" s="4" t="s">
        <v>83</v>
      </c>
      <c r="B79" s="4" t="s">
        <v>84</v>
      </c>
      <c r="C79" s="4" t="s">
        <v>85</v>
      </c>
      <c r="D79" s="4" t="s">
        <v>82</v>
      </c>
      <c r="E79" s="4" t="s">
        <v>19</v>
      </c>
      <c r="F79" s="4" t="n">
        <v>2</v>
      </c>
      <c r="G79" s="4" t="n">
        <v>0</v>
      </c>
      <c r="H79" s="4" t="n">
        <v>6</v>
      </c>
      <c r="I79" s="4" t="n">
        <v>2</v>
      </c>
      <c r="J79" s="4" t="n">
        <f aca="false">G79+I79</f>
        <v>2</v>
      </c>
      <c r="K79" s="4" t="n">
        <f aca="false">IF(H79&lt;=0,"",ROUND(J79/(H79/45),0))</f>
        <v>15</v>
      </c>
    </row>
    <row r="80" customFormat="false" ht="15" hidden="false" customHeight="false" outlineLevel="0" collapsed="false">
      <c r="A80" s="4" t="s">
        <v>83</v>
      </c>
      <c r="B80" s="4" t="s">
        <v>84</v>
      </c>
      <c r="C80" s="4" t="s">
        <v>85</v>
      </c>
      <c r="D80" s="4" t="s">
        <v>31</v>
      </c>
      <c r="E80" s="4" t="s">
        <v>19</v>
      </c>
      <c r="F80" s="4" t="n">
        <v>3</v>
      </c>
      <c r="G80" s="4" t="n">
        <v>0</v>
      </c>
      <c r="H80" s="4" t="n">
        <v>9</v>
      </c>
      <c r="I80" s="4" t="n">
        <v>2</v>
      </c>
      <c r="J80" s="4" t="n">
        <f aca="false">G80+I80</f>
        <v>2</v>
      </c>
      <c r="K80" s="4" t="n">
        <f aca="false">IF(H80&lt;=0,"",ROUND(J80/(H80/45),0))</f>
        <v>10</v>
      </c>
    </row>
    <row r="81" customFormat="false" ht="15" hidden="false" customHeight="false" outlineLevel="0" collapsed="false">
      <c r="A81" s="4" t="s">
        <v>83</v>
      </c>
      <c r="B81" s="4" t="s">
        <v>84</v>
      </c>
      <c r="C81" s="4" t="s">
        <v>85</v>
      </c>
      <c r="D81" s="4" t="s">
        <v>75</v>
      </c>
      <c r="E81" s="4" t="s">
        <v>19</v>
      </c>
      <c r="F81" s="4" t="n">
        <v>2</v>
      </c>
      <c r="G81" s="4" t="n">
        <v>0</v>
      </c>
      <c r="H81" s="4" t="n">
        <v>6</v>
      </c>
      <c r="I81" s="4" t="n">
        <v>2</v>
      </c>
      <c r="J81" s="4" t="n">
        <f aca="false">G81+I81</f>
        <v>2</v>
      </c>
      <c r="K81" s="4" t="n">
        <f aca="false">IF(H81&lt;=0,"",ROUND(J81/(H81/45),0))</f>
        <v>15</v>
      </c>
    </row>
    <row r="82" customFormat="false" ht="15" hidden="false" customHeight="false" outlineLevel="0" collapsed="false">
      <c r="A82" s="4" t="s">
        <v>83</v>
      </c>
      <c r="B82" s="4" t="s">
        <v>84</v>
      </c>
      <c r="C82" s="4" t="s">
        <v>85</v>
      </c>
      <c r="D82" s="4" t="s">
        <v>53</v>
      </c>
      <c r="E82" s="4" t="s">
        <v>19</v>
      </c>
      <c r="F82" s="4" t="n">
        <v>3</v>
      </c>
      <c r="G82" s="4" t="n">
        <v>0</v>
      </c>
      <c r="H82" s="4" t="n">
        <v>9</v>
      </c>
      <c r="I82" s="4" t="n">
        <v>2</v>
      </c>
      <c r="J82" s="4" t="n">
        <f aca="false">G82+I82</f>
        <v>2</v>
      </c>
      <c r="K82" s="4" t="n">
        <f aca="false">IF(H82&lt;=0,"",ROUND(J82/(H82/45),0))</f>
        <v>10</v>
      </c>
    </row>
    <row r="83" customFormat="false" ht="15" hidden="false" customHeight="false" outlineLevel="0" collapsed="false">
      <c r="A83" s="4" t="s">
        <v>83</v>
      </c>
      <c r="B83" s="4" t="s">
        <v>84</v>
      </c>
      <c r="C83" s="4" t="s">
        <v>85</v>
      </c>
      <c r="D83" s="4" t="s">
        <v>18</v>
      </c>
      <c r="E83" s="4" t="s">
        <v>19</v>
      </c>
      <c r="F83" s="4" t="n">
        <v>0</v>
      </c>
      <c r="G83" s="4" t="n">
        <v>0</v>
      </c>
      <c r="H83" s="4" t="n">
        <v>12</v>
      </c>
      <c r="I83" s="4" t="n">
        <v>2</v>
      </c>
      <c r="J83" s="4" t="n">
        <f aca="false">G83+I83</f>
        <v>2</v>
      </c>
      <c r="K83" s="4" t="n">
        <f aca="false">IF(H83&lt;=0,"",ROUND(J83/(H83/45),0))</f>
        <v>8</v>
      </c>
    </row>
    <row r="84" customFormat="false" ht="15" hidden="false" customHeight="false" outlineLevel="0" collapsed="false">
      <c r="A84" s="4" t="s">
        <v>86</v>
      </c>
      <c r="B84" s="4" t="s">
        <v>87</v>
      </c>
      <c r="C84" s="4" t="s">
        <v>88</v>
      </c>
      <c r="D84" s="4" t="s">
        <v>82</v>
      </c>
      <c r="E84" s="4" t="s">
        <v>19</v>
      </c>
      <c r="F84" s="4" t="n">
        <v>0</v>
      </c>
      <c r="G84" s="4" t="n">
        <v>0</v>
      </c>
      <c r="H84" s="4" t="n">
        <v>9.1</v>
      </c>
      <c r="I84" s="4" t="n">
        <v>3</v>
      </c>
      <c r="J84" s="4" t="n">
        <f aca="false">G84+I84</f>
        <v>3</v>
      </c>
      <c r="K84" s="4" t="n">
        <f aca="false">IF(H84&lt;=0,"",ROUND(J84/(H84/45),0))</f>
        <v>15</v>
      </c>
    </row>
    <row r="85" customFormat="false" ht="15" hidden="false" customHeight="false" outlineLevel="0" collapsed="false">
      <c r="A85" s="4" t="s">
        <v>86</v>
      </c>
      <c r="B85" s="4" t="s">
        <v>87</v>
      </c>
      <c r="C85" s="4" t="s">
        <v>88</v>
      </c>
      <c r="D85" s="4" t="s">
        <v>74</v>
      </c>
      <c r="E85" s="4" t="s">
        <v>19</v>
      </c>
      <c r="F85" s="4" t="n">
        <v>0</v>
      </c>
      <c r="G85" s="4" t="n">
        <v>0</v>
      </c>
      <c r="H85" s="4" t="n">
        <v>9.3</v>
      </c>
      <c r="I85" s="4" t="n">
        <v>3</v>
      </c>
      <c r="J85" s="4" t="n">
        <f aca="false">G85+I85</f>
        <v>3</v>
      </c>
      <c r="K85" s="4" t="n">
        <f aca="false">IF(H85&lt;=0,"",ROUND(J85/(H85/45),0))</f>
        <v>15</v>
      </c>
    </row>
    <row r="86" customFormat="false" ht="15" hidden="false" customHeight="false" outlineLevel="0" collapsed="false">
      <c r="A86" s="4" t="s">
        <v>86</v>
      </c>
      <c r="B86" s="4" t="s">
        <v>87</v>
      </c>
      <c r="C86" s="4" t="s">
        <v>88</v>
      </c>
      <c r="D86" s="4" t="s">
        <v>30</v>
      </c>
      <c r="E86" s="4" t="s">
        <v>19</v>
      </c>
      <c r="F86" s="4" t="n">
        <v>0</v>
      </c>
      <c r="G86" s="4" t="n">
        <v>0</v>
      </c>
      <c r="H86" s="4" t="n">
        <v>10.7</v>
      </c>
      <c r="I86" s="4" t="n">
        <v>3</v>
      </c>
      <c r="J86" s="4" t="n">
        <f aca="false">G86+I86</f>
        <v>3</v>
      </c>
      <c r="K86" s="4" t="n">
        <f aca="false">IF(H86&lt;=0,"",ROUND(J86/(H86/45),0))</f>
        <v>13</v>
      </c>
    </row>
    <row r="87" customFormat="false" ht="15" hidden="false" customHeight="false" outlineLevel="0" collapsed="false">
      <c r="A87" s="4" t="s">
        <v>86</v>
      </c>
      <c r="B87" s="4" t="s">
        <v>87</v>
      </c>
      <c r="C87" s="4" t="s">
        <v>88</v>
      </c>
      <c r="D87" s="4" t="s">
        <v>31</v>
      </c>
      <c r="E87" s="4" t="s">
        <v>19</v>
      </c>
      <c r="F87" s="4" t="n">
        <v>0</v>
      </c>
      <c r="G87" s="4" t="n">
        <v>0</v>
      </c>
      <c r="H87" s="4" t="n">
        <v>18.9</v>
      </c>
      <c r="I87" s="4" t="n">
        <v>2</v>
      </c>
      <c r="J87" s="4" t="n">
        <f aca="false">G87+I87</f>
        <v>2</v>
      </c>
      <c r="K87" s="4" t="n">
        <f aca="false">IF(H87&lt;=0,"",ROUND(J87/(H87/45),0))</f>
        <v>5</v>
      </c>
    </row>
    <row r="88" customFormat="false" ht="15" hidden="false" customHeight="false" outlineLevel="0" collapsed="false">
      <c r="A88" s="3" t="s">
        <v>86</v>
      </c>
      <c r="B88" s="3" t="s">
        <v>87</v>
      </c>
      <c r="C88" s="3" t="s">
        <v>88</v>
      </c>
      <c r="D88" s="3" t="s">
        <v>15</v>
      </c>
      <c r="E88" s="3" t="s">
        <v>16</v>
      </c>
      <c r="F88" s="3" t="s">
        <v>17</v>
      </c>
      <c r="G88" s="3" t="s">
        <v>17</v>
      </c>
      <c r="H88" s="3" t="s">
        <v>17</v>
      </c>
      <c r="I88" s="3" t="n">
        <v>11</v>
      </c>
      <c r="J88" s="3" t="s">
        <v>17</v>
      </c>
      <c r="K88" s="3" t="s">
        <v>17</v>
      </c>
    </row>
    <row r="89" customFormat="false" ht="15" hidden="false" customHeight="false" outlineLevel="0" collapsed="false">
      <c r="A89" s="4" t="s">
        <v>86</v>
      </c>
      <c r="B89" s="4" t="s">
        <v>87</v>
      </c>
      <c r="C89" s="4" t="s">
        <v>88</v>
      </c>
      <c r="D89" s="4" t="s">
        <v>32</v>
      </c>
      <c r="E89" s="4" t="s">
        <v>19</v>
      </c>
      <c r="F89" s="4" t="n">
        <v>6</v>
      </c>
      <c r="G89" s="4" t="n">
        <v>0</v>
      </c>
      <c r="H89" s="4" t="n">
        <v>27.1</v>
      </c>
      <c r="I89" s="4" t="n">
        <v>8</v>
      </c>
      <c r="J89" s="4" t="n">
        <f aca="false">G89+I89</f>
        <v>8</v>
      </c>
      <c r="K89" s="4" t="n">
        <f aca="false">IF(H89&lt;=0,"",ROUND(J89/(H89/45),0))</f>
        <v>13</v>
      </c>
    </row>
    <row r="90" customFormat="false" ht="15" hidden="false" customHeight="false" outlineLevel="0" collapsed="false">
      <c r="A90" s="3" t="s">
        <v>86</v>
      </c>
      <c r="B90" s="3" t="s">
        <v>87</v>
      </c>
      <c r="C90" s="3" t="s">
        <v>88</v>
      </c>
      <c r="D90" s="3" t="s">
        <v>33</v>
      </c>
      <c r="E90" s="3" t="s">
        <v>16</v>
      </c>
      <c r="F90" s="3" t="s">
        <v>17</v>
      </c>
      <c r="G90" s="3" t="s">
        <v>17</v>
      </c>
      <c r="H90" s="3" t="s">
        <v>17</v>
      </c>
      <c r="I90" s="3" t="n">
        <v>5</v>
      </c>
      <c r="J90" s="3" t="s">
        <v>17</v>
      </c>
      <c r="K90" s="3" t="s">
        <v>17</v>
      </c>
    </row>
    <row r="91" customFormat="false" ht="15" hidden="false" customHeight="false" outlineLevel="0" collapsed="false">
      <c r="A91" s="4" t="s">
        <v>86</v>
      </c>
      <c r="B91" s="4" t="s">
        <v>87</v>
      </c>
      <c r="C91" s="4" t="s">
        <v>88</v>
      </c>
      <c r="D91" s="4" t="s">
        <v>66</v>
      </c>
      <c r="E91" s="4" t="s">
        <v>19</v>
      </c>
      <c r="F91" s="4" t="n">
        <v>0</v>
      </c>
      <c r="G91" s="4" t="n">
        <v>1</v>
      </c>
      <c r="H91" s="4" t="n">
        <v>7</v>
      </c>
      <c r="I91" s="4" t="n">
        <v>2</v>
      </c>
      <c r="J91" s="4" t="n">
        <f aca="false">G91+I91</f>
        <v>3</v>
      </c>
      <c r="K91" s="4" t="n">
        <f aca="false">IF(H91&lt;=0,"",ROUND(J91/(H91/45),0))</f>
        <v>19</v>
      </c>
    </row>
    <row r="92" customFormat="false" ht="15" hidden="false" customHeight="false" outlineLevel="0" collapsed="false">
      <c r="A92" s="4" t="s">
        <v>86</v>
      </c>
      <c r="B92" s="4" t="s">
        <v>87</v>
      </c>
      <c r="C92" s="4" t="s">
        <v>88</v>
      </c>
      <c r="D92" s="4" t="s">
        <v>34</v>
      </c>
      <c r="E92" s="4" t="s">
        <v>19</v>
      </c>
      <c r="F92" s="4" t="n">
        <v>2</v>
      </c>
      <c r="G92" s="4" t="n">
        <v>0</v>
      </c>
      <c r="H92" s="4" t="n">
        <v>12.9</v>
      </c>
      <c r="I92" s="4" t="n">
        <v>4</v>
      </c>
      <c r="J92" s="4" t="n">
        <f aca="false">G92+I92</f>
        <v>4</v>
      </c>
      <c r="K92" s="4" t="n">
        <f aca="false">IF(H92&lt;=0,"",ROUND(J92/(H92/45),0))</f>
        <v>14</v>
      </c>
    </row>
    <row r="93" customFormat="false" ht="15" hidden="false" customHeight="false" outlineLevel="0" collapsed="false">
      <c r="A93" s="4" t="s">
        <v>86</v>
      </c>
      <c r="B93" s="4" t="s">
        <v>87</v>
      </c>
      <c r="C93" s="4" t="s">
        <v>88</v>
      </c>
      <c r="D93" s="4" t="s">
        <v>53</v>
      </c>
      <c r="E93" s="4" t="s">
        <v>19</v>
      </c>
      <c r="F93" s="4" t="n">
        <v>1</v>
      </c>
      <c r="G93" s="4" t="n">
        <v>2</v>
      </c>
      <c r="H93" s="4" t="n">
        <v>13.5</v>
      </c>
      <c r="I93" s="4" t="n">
        <v>4</v>
      </c>
      <c r="J93" s="4" t="n">
        <f aca="false">G93+I93</f>
        <v>6</v>
      </c>
      <c r="K93" s="4" t="n">
        <f aca="false">IF(H93&lt;=0,"",ROUND(J93/(H93/45),0))</f>
        <v>20</v>
      </c>
    </row>
    <row r="94" customFormat="false" ht="15" hidden="false" customHeight="false" outlineLevel="0" collapsed="false">
      <c r="A94" s="4" t="s">
        <v>86</v>
      </c>
      <c r="B94" s="4" t="s">
        <v>87</v>
      </c>
      <c r="C94" s="4" t="s">
        <v>88</v>
      </c>
      <c r="D94" s="4" t="s">
        <v>35</v>
      </c>
      <c r="E94" s="4" t="s">
        <v>19</v>
      </c>
      <c r="F94" s="4" t="n">
        <v>1</v>
      </c>
      <c r="G94" s="4" t="n">
        <v>0</v>
      </c>
      <c r="H94" s="4" t="n">
        <v>8.5</v>
      </c>
      <c r="I94" s="4" t="n">
        <v>3</v>
      </c>
      <c r="J94" s="4" t="n">
        <f aca="false">G94+I94</f>
        <v>3</v>
      </c>
      <c r="K94" s="4" t="n">
        <f aca="false">IF(H94&lt;=0,"",ROUND(J94/(H94/45),0))</f>
        <v>16</v>
      </c>
    </row>
    <row r="95" customFormat="false" ht="15" hidden="false" customHeight="false" outlineLevel="0" collapsed="false">
      <c r="A95" s="4" t="s">
        <v>86</v>
      </c>
      <c r="B95" s="4" t="s">
        <v>87</v>
      </c>
      <c r="C95" s="4" t="s">
        <v>88</v>
      </c>
      <c r="D95" s="4" t="s">
        <v>78</v>
      </c>
      <c r="E95" s="4" t="s">
        <v>19</v>
      </c>
      <c r="F95" s="4" t="n">
        <v>1</v>
      </c>
      <c r="G95" s="4" t="n">
        <v>0</v>
      </c>
      <c r="H95" s="4" t="n">
        <v>9.1</v>
      </c>
      <c r="I95" s="4" t="n">
        <v>3</v>
      </c>
      <c r="J95" s="4" t="n">
        <f aca="false">G95+I95</f>
        <v>3</v>
      </c>
      <c r="K95" s="4" t="n">
        <f aca="false">IF(H95&lt;=0,"",ROUND(J95/(H95/45),0))</f>
        <v>15</v>
      </c>
    </row>
    <row r="96" customFormat="false" ht="15" hidden="false" customHeight="false" outlineLevel="0" collapsed="false">
      <c r="A96" s="4" t="s">
        <v>86</v>
      </c>
      <c r="B96" s="4" t="s">
        <v>87</v>
      </c>
      <c r="C96" s="4" t="s">
        <v>88</v>
      </c>
      <c r="D96" s="4" t="s">
        <v>18</v>
      </c>
      <c r="E96" s="4" t="s">
        <v>19</v>
      </c>
      <c r="F96" s="4" t="n">
        <v>0</v>
      </c>
      <c r="G96" s="4" t="n">
        <v>0</v>
      </c>
      <c r="H96" s="4" t="n">
        <v>13.3</v>
      </c>
      <c r="I96" s="4" t="n">
        <v>4</v>
      </c>
      <c r="J96" s="4" t="n">
        <f aca="false">G96+I96</f>
        <v>4</v>
      </c>
      <c r="K96" s="4" t="n">
        <f aca="false">IF(H96&lt;=0,"",ROUND(J96/(H96/45),0))</f>
        <v>14</v>
      </c>
    </row>
    <row r="97" customFormat="false" ht="15" hidden="false" customHeight="false" outlineLevel="0" collapsed="false">
      <c r="A97" s="4" t="s">
        <v>86</v>
      </c>
      <c r="B97" s="4" t="s">
        <v>87</v>
      </c>
      <c r="C97" s="4" t="s">
        <v>88</v>
      </c>
      <c r="D97" s="4" t="s">
        <v>39</v>
      </c>
      <c r="E97" s="4" t="s">
        <v>19</v>
      </c>
      <c r="F97" s="4" t="n">
        <v>2</v>
      </c>
      <c r="G97" s="4" t="n">
        <v>19</v>
      </c>
      <c r="H97" s="4" t="n">
        <v>20</v>
      </c>
      <c r="I97" s="4" t="n">
        <v>2</v>
      </c>
      <c r="J97" s="4" t="n">
        <f aca="false">G97+I97</f>
        <v>21</v>
      </c>
      <c r="K97" s="4" t="n">
        <f aca="false">IF(H97&lt;=0,"",ROUND(J97/(H97/45),0))</f>
        <v>47</v>
      </c>
    </row>
    <row r="98" customFormat="false" ht="15" hidden="false" customHeight="false" outlineLevel="0" collapsed="false">
      <c r="A98" s="4" t="s">
        <v>86</v>
      </c>
      <c r="B98" s="4" t="s">
        <v>87</v>
      </c>
      <c r="C98" s="4" t="s">
        <v>88</v>
      </c>
      <c r="D98" s="4" t="s">
        <v>70</v>
      </c>
      <c r="E98" s="4" t="s">
        <v>19</v>
      </c>
      <c r="F98" s="4" t="n">
        <v>0</v>
      </c>
      <c r="G98" s="4" t="n">
        <v>1</v>
      </c>
      <c r="H98" s="4" t="n">
        <v>7.2</v>
      </c>
      <c r="I98" s="4" t="n">
        <v>2</v>
      </c>
      <c r="J98" s="4" t="n">
        <f aca="false">G98+I98</f>
        <v>3</v>
      </c>
      <c r="K98" s="4" t="n">
        <f aca="false">IF(H98&lt;=0,"",ROUND(J98/(H98/45),0))</f>
        <v>19</v>
      </c>
    </row>
    <row r="99" customFormat="false" ht="15" hidden="false" customHeight="false" outlineLevel="0" collapsed="false">
      <c r="A99" s="4" t="s">
        <v>86</v>
      </c>
      <c r="B99" s="4" t="s">
        <v>87</v>
      </c>
      <c r="C99" s="4" t="s">
        <v>88</v>
      </c>
      <c r="D99" s="4" t="s">
        <v>40</v>
      </c>
      <c r="E99" s="4" t="s">
        <v>19</v>
      </c>
      <c r="F99" s="4" t="n">
        <v>1</v>
      </c>
      <c r="G99" s="4" t="n">
        <v>0</v>
      </c>
      <c r="H99" s="4" t="n">
        <v>19.9</v>
      </c>
      <c r="I99" s="4" t="n">
        <v>6</v>
      </c>
      <c r="J99" s="4" t="n">
        <f aca="false">G99+I99</f>
        <v>6</v>
      </c>
      <c r="K99" s="4" t="n">
        <f aca="false">IF(H99&lt;=0,"",ROUND(J99/(H99/45),0))</f>
        <v>14</v>
      </c>
    </row>
    <row r="100" customFormat="false" ht="15" hidden="false" customHeight="false" outlineLevel="0" collapsed="false">
      <c r="A100" s="4" t="s">
        <v>89</v>
      </c>
      <c r="B100" s="4" t="s">
        <v>90</v>
      </c>
      <c r="C100" s="4" t="s">
        <v>91</v>
      </c>
      <c r="D100" s="4" t="s">
        <v>82</v>
      </c>
      <c r="E100" s="4" t="s">
        <v>19</v>
      </c>
      <c r="F100" s="4" t="n">
        <v>2</v>
      </c>
      <c r="G100" s="4" t="n">
        <v>0</v>
      </c>
      <c r="H100" s="4" t="n">
        <v>15.2</v>
      </c>
      <c r="I100" s="4" t="n">
        <v>4</v>
      </c>
      <c r="J100" s="4" t="n">
        <f aca="false">G100+I100</f>
        <v>4</v>
      </c>
      <c r="K100" s="4" t="n">
        <f aca="false">IF(H100&lt;=0,"",ROUND(J100/(H100/45),0))</f>
        <v>12</v>
      </c>
    </row>
    <row r="101" customFormat="false" ht="15" hidden="false" customHeight="false" outlineLevel="0" collapsed="false">
      <c r="A101" s="4" t="s">
        <v>89</v>
      </c>
      <c r="B101" s="4" t="s">
        <v>90</v>
      </c>
      <c r="C101" s="4" t="s">
        <v>91</v>
      </c>
      <c r="D101" s="4" t="s">
        <v>74</v>
      </c>
      <c r="E101" s="4" t="s">
        <v>19</v>
      </c>
      <c r="F101" s="4" t="n">
        <v>5</v>
      </c>
      <c r="G101" s="4" t="n">
        <v>3</v>
      </c>
      <c r="H101" s="4" t="n">
        <v>17.3</v>
      </c>
      <c r="I101" s="4" t="n">
        <v>4</v>
      </c>
      <c r="J101" s="4" t="n">
        <f aca="false">G101+I101</f>
        <v>7</v>
      </c>
      <c r="K101" s="4" t="n">
        <f aca="false">IF(H101&lt;=0,"",ROUND(J101/(H101/45),0))</f>
        <v>18</v>
      </c>
    </row>
    <row r="102" customFormat="false" ht="15" hidden="false" customHeight="false" outlineLevel="0" collapsed="false">
      <c r="A102" s="4" t="s">
        <v>89</v>
      </c>
      <c r="B102" s="4" t="s">
        <v>90</v>
      </c>
      <c r="C102" s="4" t="s">
        <v>91</v>
      </c>
      <c r="D102" s="4" t="s">
        <v>31</v>
      </c>
      <c r="E102" s="4" t="s">
        <v>19</v>
      </c>
      <c r="F102" s="4" t="n">
        <v>3</v>
      </c>
      <c r="G102" s="4" t="n">
        <v>0</v>
      </c>
      <c r="H102" s="4" t="n">
        <v>16.5</v>
      </c>
      <c r="I102" s="4" t="n">
        <v>2</v>
      </c>
      <c r="J102" s="4" t="n">
        <f aca="false">G102+I102</f>
        <v>2</v>
      </c>
      <c r="K102" s="4" t="n">
        <f aca="false">IF(H102&lt;=0,"",ROUND(J102/(H102/45),0))</f>
        <v>5</v>
      </c>
    </row>
    <row r="103" customFormat="false" ht="15" hidden="false" customHeight="false" outlineLevel="0" collapsed="false">
      <c r="A103" s="4" t="s">
        <v>89</v>
      </c>
      <c r="B103" s="4" t="s">
        <v>90</v>
      </c>
      <c r="C103" s="4" t="s">
        <v>91</v>
      </c>
      <c r="D103" s="4" t="s">
        <v>76</v>
      </c>
      <c r="E103" s="4" t="s">
        <v>19</v>
      </c>
      <c r="F103" s="4" t="n">
        <v>2</v>
      </c>
      <c r="G103" s="4" t="n">
        <v>1</v>
      </c>
      <c r="H103" s="4" t="n">
        <v>6</v>
      </c>
      <c r="I103" s="4" t="n">
        <v>2</v>
      </c>
      <c r="J103" s="4" t="n">
        <f aca="false">G103+I103</f>
        <v>3</v>
      </c>
      <c r="K103" s="4" t="n">
        <f aca="false">IF(H103&lt;=0,"",ROUND(J103/(H103/45),0))</f>
        <v>23</v>
      </c>
    </row>
    <row r="104" customFormat="false" ht="15" hidden="false" customHeight="false" outlineLevel="0" collapsed="false">
      <c r="A104" s="3" t="s">
        <v>89</v>
      </c>
      <c r="B104" s="3" t="s">
        <v>90</v>
      </c>
      <c r="C104" s="3" t="s">
        <v>91</v>
      </c>
      <c r="D104" s="3" t="s">
        <v>15</v>
      </c>
      <c r="E104" s="3" t="s">
        <v>16</v>
      </c>
      <c r="F104" s="3" t="s">
        <v>17</v>
      </c>
      <c r="G104" s="3" t="s">
        <v>17</v>
      </c>
      <c r="H104" s="3" t="s">
        <v>17</v>
      </c>
      <c r="I104" s="3" t="n">
        <v>7</v>
      </c>
      <c r="J104" s="3" t="s">
        <v>17</v>
      </c>
      <c r="K104" s="3" t="s">
        <v>17</v>
      </c>
    </row>
    <row r="105" customFormat="false" ht="15" hidden="false" customHeight="false" outlineLevel="0" collapsed="false">
      <c r="A105" s="4" t="s">
        <v>89</v>
      </c>
      <c r="B105" s="4" t="s">
        <v>90</v>
      </c>
      <c r="C105" s="4" t="s">
        <v>91</v>
      </c>
      <c r="D105" s="4" t="s">
        <v>32</v>
      </c>
      <c r="E105" s="4" t="s">
        <v>19</v>
      </c>
      <c r="F105" s="4" t="n">
        <v>5</v>
      </c>
      <c r="G105" s="4" t="n">
        <v>0</v>
      </c>
      <c r="H105" s="4" t="n">
        <v>20.1</v>
      </c>
      <c r="I105" s="4" t="n">
        <v>6</v>
      </c>
      <c r="J105" s="4" t="n">
        <f aca="false">G105+I105</f>
        <v>6</v>
      </c>
      <c r="K105" s="4" t="n">
        <f aca="false">IF(H105&lt;=0,"",ROUND(J105/(H105/45),0))</f>
        <v>13</v>
      </c>
    </row>
    <row r="106" customFormat="false" ht="15" hidden="false" customHeight="false" outlineLevel="0" collapsed="false">
      <c r="A106" s="3" t="s">
        <v>89</v>
      </c>
      <c r="B106" s="3" t="s">
        <v>90</v>
      </c>
      <c r="C106" s="3" t="s">
        <v>91</v>
      </c>
      <c r="D106" s="3" t="s">
        <v>33</v>
      </c>
      <c r="E106" s="3" t="s">
        <v>16</v>
      </c>
      <c r="F106" s="3" t="s">
        <v>17</v>
      </c>
      <c r="G106" s="3" t="s">
        <v>17</v>
      </c>
      <c r="H106" s="3" t="s">
        <v>17</v>
      </c>
      <c r="I106" s="3" t="n">
        <v>3</v>
      </c>
      <c r="J106" s="3" t="s">
        <v>17</v>
      </c>
      <c r="K106" s="3" t="s">
        <v>17</v>
      </c>
    </row>
    <row r="107" customFormat="false" ht="15" hidden="false" customHeight="false" outlineLevel="0" collapsed="false">
      <c r="A107" s="4" t="s">
        <v>89</v>
      </c>
      <c r="B107" s="4" t="s">
        <v>90</v>
      </c>
      <c r="C107" s="4" t="s">
        <v>91</v>
      </c>
      <c r="D107" s="4" t="s">
        <v>77</v>
      </c>
      <c r="E107" s="4" t="s">
        <v>19</v>
      </c>
      <c r="F107" s="4" t="n">
        <v>2</v>
      </c>
      <c r="G107" s="4" t="n">
        <v>0</v>
      </c>
      <c r="H107" s="4" t="n">
        <v>8.5</v>
      </c>
      <c r="I107" s="4" t="n">
        <v>2</v>
      </c>
      <c r="J107" s="4" t="n">
        <f aca="false">G107+I107</f>
        <v>2</v>
      </c>
      <c r="K107" s="4" t="n">
        <f aca="false">IF(H107&lt;=0,"",ROUND(J107/(H107/45),0))</f>
        <v>11</v>
      </c>
    </row>
    <row r="108" customFormat="false" ht="15" hidden="false" customHeight="false" outlineLevel="0" collapsed="false">
      <c r="A108" s="4" t="s">
        <v>89</v>
      </c>
      <c r="B108" s="4" t="s">
        <v>90</v>
      </c>
      <c r="C108" s="4" t="s">
        <v>91</v>
      </c>
      <c r="D108" s="4" t="s">
        <v>66</v>
      </c>
      <c r="E108" s="4" t="s">
        <v>19</v>
      </c>
      <c r="F108" s="4" t="n">
        <v>3</v>
      </c>
      <c r="G108" s="4" t="n">
        <v>11</v>
      </c>
      <c r="H108" s="4" t="n">
        <v>12.7</v>
      </c>
      <c r="I108" s="4" t="n">
        <v>2</v>
      </c>
      <c r="J108" s="4" t="n">
        <f aca="false">G108+I108</f>
        <v>13</v>
      </c>
      <c r="K108" s="4" t="n">
        <f aca="false">IF(H108&lt;=0,"",ROUND(J108/(H108/45),0))</f>
        <v>46</v>
      </c>
    </row>
    <row r="109" customFormat="false" ht="15" hidden="false" customHeight="false" outlineLevel="0" collapsed="false">
      <c r="A109" s="4" t="s">
        <v>89</v>
      </c>
      <c r="B109" s="4" t="s">
        <v>90</v>
      </c>
      <c r="C109" s="4" t="s">
        <v>91</v>
      </c>
      <c r="D109" s="4" t="s">
        <v>78</v>
      </c>
      <c r="E109" s="4" t="s">
        <v>19</v>
      </c>
      <c r="F109" s="4" t="n">
        <v>1</v>
      </c>
      <c r="G109" s="4" t="n">
        <v>0</v>
      </c>
      <c r="H109" s="4" t="n">
        <v>6.5</v>
      </c>
      <c r="I109" s="4" t="n">
        <v>2</v>
      </c>
      <c r="J109" s="4" t="n">
        <f aca="false">G109+I109</f>
        <v>2</v>
      </c>
      <c r="K109" s="4" t="n">
        <f aca="false">IF(H109&lt;=0,"",ROUND(J109/(H109/45),0))</f>
        <v>14</v>
      </c>
    </row>
    <row r="110" customFormat="false" ht="15" hidden="false" customHeight="false" outlineLevel="0" collapsed="false">
      <c r="A110" s="4" t="s">
        <v>89</v>
      </c>
      <c r="B110" s="4" t="s">
        <v>90</v>
      </c>
      <c r="C110" s="4" t="s">
        <v>91</v>
      </c>
      <c r="D110" s="4" t="s">
        <v>39</v>
      </c>
      <c r="E110" s="4" t="s">
        <v>19</v>
      </c>
      <c r="F110" s="4" t="n">
        <v>0</v>
      </c>
      <c r="G110" s="4" t="n">
        <v>1</v>
      </c>
      <c r="H110" s="4" t="n">
        <v>7.7</v>
      </c>
      <c r="I110" s="4" t="n">
        <v>2</v>
      </c>
      <c r="J110" s="4" t="n">
        <f aca="false">G110+I110</f>
        <v>3</v>
      </c>
      <c r="K110" s="4" t="n">
        <f aca="false">IF(H110&lt;=0,"",ROUND(J110/(H110/45),0))</f>
        <v>18</v>
      </c>
    </row>
    <row r="111" customFormat="false" ht="15" hidden="false" customHeight="false" outlineLevel="0" collapsed="false">
      <c r="A111" s="4" t="s">
        <v>89</v>
      </c>
      <c r="B111" s="4" t="s">
        <v>90</v>
      </c>
      <c r="C111" s="4" t="s">
        <v>91</v>
      </c>
      <c r="D111" s="4" t="s">
        <v>70</v>
      </c>
      <c r="E111" s="4" t="s">
        <v>19</v>
      </c>
      <c r="F111" s="4" t="n">
        <v>4</v>
      </c>
      <c r="G111" s="4" t="n">
        <v>1</v>
      </c>
      <c r="H111" s="4" t="n">
        <v>12</v>
      </c>
      <c r="I111" s="4" t="n">
        <v>3</v>
      </c>
      <c r="J111" s="4" t="n">
        <f aca="false">G111+I111</f>
        <v>4</v>
      </c>
      <c r="K111" s="4" t="n">
        <f aca="false">IF(H111&lt;=0,"",ROUND(J111/(H111/45),0))</f>
        <v>15</v>
      </c>
    </row>
    <row r="112" customFormat="false" ht="15" hidden="false" customHeight="false" outlineLevel="0" collapsed="false">
      <c r="A112" s="4" t="s">
        <v>89</v>
      </c>
      <c r="B112" s="4" t="s">
        <v>90</v>
      </c>
      <c r="C112" s="4" t="s">
        <v>91</v>
      </c>
      <c r="D112" s="4" t="s">
        <v>40</v>
      </c>
      <c r="E112" s="4" t="s">
        <v>19</v>
      </c>
      <c r="F112" s="4" t="n">
        <v>1</v>
      </c>
      <c r="G112" s="4" t="n">
        <v>1</v>
      </c>
      <c r="H112" s="4" t="n">
        <v>9.7</v>
      </c>
      <c r="I112" s="4" t="n">
        <v>2</v>
      </c>
      <c r="J112" s="4" t="n">
        <f aca="false">G112+I112</f>
        <v>3</v>
      </c>
      <c r="K112" s="4" t="n">
        <f aca="false">IF(H112&lt;=0,"",ROUND(J112/(H112/45),0))</f>
        <v>14</v>
      </c>
    </row>
    <row r="113" customFormat="false" ht="15" hidden="false" customHeight="false" outlineLevel="0" collapsed="false">
      <c r="A113" s="4" t="s">
        <v>92</v>
      </c>
      <c r="B113" s="4" t="s">
        <v>93</v>
      </c>
      <c r="C113" s="4" t="s">
        <v>94</v>
      </c>
      <c r="D113" s="4" t="s">
        <v>18</v>
      </c>
      <c r="E113" s="4" t="s">
        <v>19</v>
      </c>
      <c r="F113" s="4" t="n">
        <v>0</v>
      </c>
      <c r="G113" s="4" t="n">
        <v>1</v>
      </c>
      <c r="H113" s="4" t="n">
        <v>15</v>
      </c>
      <c r="I113" s="4" t="n">
        <v>2</v>
      </c>
      <c r="J113" s="4" t="n">
        <f aca="false">G113+I113</f>
        <v>3</v>
      </c>
      <c r="K113" s="4" t="n">
        <f aca="false">IF(H113&lt;=0,"",ROUND(J113/(H113/45),0))</f>
        <v>9</v>
      </c>
    </row>
    <row r="114" customFormat="false" ht="15" hidden="false" customHeight="false" outlineLevel="0" collapsed="false">
      <c r="A114" s="4" t="s">
        <v>95</v>
      </c>
      <c r="B114" s="4" t="s">
        <v>96</v>
      </c>
      <c r="C114" s="4" t="s">
        <v>97</v>
      </c>
      <c r="D114" s="4" t="s">
        <v>30</v>
      </c>
      <c r="E114" s="4" t="s">
        <v>19</v>
      </c>
      <c r="F114" s="4" t="n">
        <v>5</v>
      </c>
      <c r="G114" s="4" t="n">
        <v>0</v>
      </c>
      <c r="H114" s="4" t="n">
        <v>18.8</v>
      </c>
      <c r="I114" s="4" t="n">
        <v>18</v>
      </c>
      <c r="J114" s="4" t="n">
        <f aca="false">G114+I114</f>
        <v>18</v>
      </c>
      <c r="K114" s="4" t="n">
        <f aca="false">IF(H114&lt;=0,"",ROUND(J114/(H114/45),0))</f>
        <v>43</v>
      </c>
    </row>
    <row r="115" customFormat="false" ht="15" hidden="false" customHeight="false" outlineLevel="0" collapsed="false">
      <c r="A115" s="3" t="s">
        <v>95</v>
      </c>
      <c r="B115" s="3" t="s">
        <v>96</v>
      </c>
      <c r="C115" s="3" t="s">
        <v>97</v>
      </c>
      <c r="D115" s="3" t="s">
        <v>15</v>
      </c>
      <c r="E115" s="3" t="s">
        <v>16</v>
      </c>
      <c r="F115" s="3" t="s">
        <v>17</v>
      </c>
      <c r="G115" s="3" t="s">
        <v>17</v>
      </c>
      <c r="H115" s="3" t="s">
        <v>17</v>
      </c>
      <c r="I115" s="3" t="n">
        <v>13</v>
      </c>
      <c r="J115" s="3" t="s">
        <v>17</v>
      </c>
      <c r="K115" s="3" t="s">
        <v>17</v>
      </c>
    </row>
    <row r="116" customFormat="false" ht="15" hidden="false" customHeight="false" outlineLevel="0" collapsed="false">
      <c r="A116" s="4" t="s">
        <v>95</v>
      </c>
      <c r="B116" s="4" t="s">
        <v>96</v>
      </c>
      <c r="C116" s="4" t="s">
        <v>97</v>
      </c>
      <c r="D116" s="4" t="s">
        <v>32</v>
      </c>
      <c r="E116" s="4" t="s">
        <v>19</v>
      </c>
      <c r="F116" s="4" t="n">
        <v>5</v>
      </c>
      <c r="G116" s="4" t="n">
        <v>1</v>
      </c>
      <c r="H116" s="4" t="n">
        <v>18.1</v>
      </c>
      <c r="I116" s="4" t="n">
        <v>2</v>
      </c>
      <c r="J116" s="4" t="n">
        <f aca="false">G116+I116</f>
        <v>3</v>
      </c>
      <c r="K116" s="4" t="n">
        <f aca="false">IF(H116&lt;=0,"",ROUND(J116/(H116/45),0))</f>
        <v>7</v>
      </c>
    </row>
    <row r="117" customFormat="false" ht="15" hidden="false" customHeight="false" outlineLevel="0" collapsed="false">
      <c r="A117" s="3" t="s">
        <v>95</v>
      </c>
      <c r="B117" s="3" t="s">
        <v>96</v>
      </c>
      <c r="C117" s="3" t="s">
        <v>97</v>
      </c>
      <c r="D117" s="3" t="s">
        <v>33</v>
      </c>
      <c r="E117" s="3" t="s">
        <v>16</v>
      </c>
      <c r="F117" s="3" t="s">
        <v>17</v>
      </c>
      <c r="G117" s="3" t="s">
        <v>17</v>
      </c>
      <c r="H117" s="3" t="s">
        <v>17</v>
      </c>
      <c r="I117" s="3" t="n">
        <v>6</v>
      </c>
      <c r="J117" s="3" t="s">
        <v>17</v>
      </c>
      <c r="K117" s="3" t="s">
        <v>17</v>
      </c>
    </row>
    <row r="118" customFormat="false" ht="15" hidden="false" customHeight="false" outlineLevel="0" collapsed="false">
      <c r="A118" s="4" t="s">
        <v>95</v>
      </c>
      <c r="B118" s="4" t="s">
        <v>96</v>
      </c>
      <c r="C118" s="4" t="s">
        <v>97</v>
      </c>
      <c r="D118" s="4" t="s">
        <v>18</v>
      </c>
      <c r="E118" s="4" t="s">
        <v>19</v>
      </c>
      <c r="F118" s="4" t="n">
        <v>1</v>
      </c>
      <c r="G118" s="4" t="n">
        <v>0</v>
      </c>
      <c r="H118" s="4" t="n">
        <v>7.8</v>
      </c>
      <c r="I118" s="4" t="n">
        <v>2</v>
      </c>
      <c r="J118" s="4" t="n">
        <f aca="false">G118+I118</f>
        <v>2</v>
      </c>
      <c r="K118" s="4" t="n">
        <f aca="false">IF(H118&lt;=0,"",ROUND(J118/(H118/45),0))</f>
        <v>12</v>
      </c>
    </row>
    <row r="119" customFormat="false" ht="15" hidden="false" customHeight="false" outlineLevel="0" collapsed="false">
      <c r="A119" s="4" t="s">
        <v>98</v>
      </c>
      <c r="B119" s="4" t="s">
        <v>99</v>
      </c>
      <c r="C119" s="4" t="s">
        <v>100</v>
      </c>
      <c r="D119" s="4" t="s">
        <v>18</v>
      </c>
      <c r="E119" s="4" t="s">
        <v>19</v>
      </c>
      <c r="F119" s="4" t="n">
        <v>0</v>
      </c>
      <c r="G119" s="4" t="n">
        <v>0</v>
      </c>
      <c r="H119" s="4" t="n">
        <v>15</v>
      </c>
      <c r="I119" s="4" t="n">
        <v>2</v>
      </c>
      <c r="J119" s="4" t="n">
        <f aca="false">G119+I119</f>
        <v>2</v>
      </c>
      <c r="K119" s="4" t="n">
        <f aca="false">IF(H119&lt;=0,"",ROUND(J119/(H119/45),0))</f>
        <v>6</v>
      </c>
    </row>
    <row r="120" customFormat="false" ht="15" hidden="false" customHeight="false" outlineLevel="0" collapsed="false">
      <c r="A120" s="4" t="s">
        <v>101</v>
      </c>
      <c r="B120" s="4" t="s">
        <v>102</v>
      </c>
      <c r="C120" s="4" t="s">
        <v>103</v>
      </c>
      <c r="D120" s="4" t="s">
        <v>74</v>
      </c>
      <c r="E120" s="4" t="s">
        <v>19</v>
      </c>
      <c r="F120" s="4" t="n">
        <v>17</v>
      </c>
      <c r="G120" s="4" t="n">
        <v>2</v>
      </c>
      <c r="H120" s="4" t="n">
        <v>53.5</v>
      </c>
      <c r="I120" s="4" t="n">
        <v>6</v>
      </c>
      <c r="J120" s="4" t="n">
        <f aca="false">G120+I120</f>
        <v>8</v>
      </c>
      <c r="K120" s="4" t="n">
        <f aca="false">IF(H120&lt;=0,"",ROUND(J120/(H120/45),0))</f>
        <v>7</v>
      </c>
    </row>
    <row r="121" customFormat="false" ht="15" hidden="false" customHeight="false" outlineLevel="0" collapsed="false">
      <c r="A121" s="4" t="s">
        <v>101</v>
      </c>
      <c r="B121" s="4" t="s">
        <v>102</v>
      </c>
      <c r="C121" s="4" t="s">
        <v>103</v>
      </c>
      <c r="D121" s="4" t="s">
        <v>30</v>
      </c>
      <c r="E121" s="4" t="s">
        <v>19</v>
      </c>
      <c r="F121" s="4" t="n">
        <v>2</v>
      </c>
      <c r="G121" s="4" t="n">
        <v>1</v>
      </c>
      <c r="H121" s="4" t="n">
        <v>9.8</v>
      </c>
      <c r="I121" s="4" t="n">
        <v>2</v>
      </c>
      <c r="J121" s="4" t="n">
        <f aca="false">G121+I121</f>
        <v>3</v>
      </c>
      <c r="K121" s="4" t="n">
        <f aca="false">IF(H121&lt;=0,"",ROUND(J121/(H121/45),0))</f>
        <v>14</v>
      </c>
    </row>
    <row r="122" customFormat="false" ht="15" hidden="false" customHeight="false" outlineLevel="0" collapsed="false">
      <c r="A122" s="4" t="s">
        <v>101</v>
      </c>
      <c r="B122" s="4" t="s">
        <v>102</v>
      </c>
      <c r="C122" s="4" t="s">
        <v>103</v>
      </c>
      <c r="D122" s="4" t="s">
        <v>31</v>
      </c>
      <c r="E122" s="4" t="s">
        <v>19</v>
      </c>
      <c r="F122" s="4" t="n">
        <v>23</v>
      </c>
      <c r="G122" s="4" t="n">
        <v>20</v>
      </c>
      <c r="H122" s="4" t="n">
        <v>72.2</v>
      </c>
      <c r="I122" s="4" t="n">
        <v>2</v>
      </c>
      <c r="J122" s="4" t="n">
        <f aca="false">G122+I122</f>
        <v>22</v>
      </c>
      <c r="K122" s="4" t="n">
        <f aca="false">IF(H122&lt;=0,"",ROUND(J122/(H122/45),0))</f>
        <v>14</v>
      </c>
    </row>
    <row r="123" customFormat="false" ht="15" hidden="false" customHeight="false" outlineLevel="0" collapsed="false">
      <c r="A123" s="4" t="s">
        <v>101</v>
      </c>
      <c r="B123" s="4" t="s">
        <v>102</v>
      </c>
      <c r="C123" s="4" t="s">
        <v>103</v>
      </c>
      <c r="D123" s="4" t="s">
        <v>76</v>
      </c>
      <c r="E123" s="4" t="s">
        <v>19</v>
      </c>
      <c r="F123" s="4" t="n">
        <v>2</v>
      </c>
      <c r="G123" s="4" t="n">
        <v>0</v>
      </c>
      <c r="H123" s="4" t="n">
        <v>6</v>
      </c>
      <c r="I123" s="4" t="n">
        <v>2</v>
      </c>
      <c r="J123" s="4" t="n">
        <f aca="false">G123+I123</f>
        <v>2</v>
      </c>
      <c r="K123" s="4" t="n">
        <f aca="false">IF(H123&lt;=0,"",ROUND(J123/(H123/45),0))</f>
        <v>15</v>
      </c>
    </row>
    <row r="124" customFormat="false" ht="15" hidden="false" customHeight="false" outlineLevel="0" collapsed="false">
      <c r="A124" s="3" t="s">
        <v>101</v>
      </c>
      <c r="B124" s="3" t="s">
        <v>102</v>
      </c>
      <c r="C124" s="3" t="s">
        <v>103</v>
      </c>
      <c r="D124" s="3" t="s">
        <v>15</v>
      </c>
      <c r="E124" s="3" t="s">
        <v>16</v>
      </c>
      <c r="F124" s="3" t="s">
        <v>17</v>
      </c>
      <c r="G124" s="3" t="s">
        <v>17</v>
      </c>
      <c r="H124" s="3" t="s">
        <v>17</v>
      </c>
      <c r="I124" s="3" t="n">
        <v>9</v>
      </c>
      <c r="J124" s="3" t="s">
        <v>17</v>
      </c>
      <c r="K124" s="3" t="s">
        <v>17</v>
      </c>
    </row>
    <row r="125" customFormat="false" ht="15" hidden="false" customHeight="false" outlineLevel="0" collapsed="false">
      <c r="A125" s="4" t="s">
        <v>101</v>
      </c>
      <c r="B125" s="4" t="s">
        <v>102</v>
      </c>
      <c r="C125" s="4" t="s">
        <v>103</v>
      </c>
      <c r="D125" s="4" t="s">
        <v>32</v>
      </c>
      <c r="E125" s="4" t="s">
        <v>19</v>
      </c>
      <c r="F125" s="4" t="n">
        <v>2</v>
      </c>
      <c r="G125" s="4" t="n">
        <v>0</v>
      </c>
      <c r="H125" s="4" t="n">
        <v>9.2</v>
      </c>
      <c r="I125" s="4" t="n">
        <v>2</v>
      </c>
      <c r="J125" s="4" t="n">
        <f aca="false">G125+I125</f>
        <v>2</v>
      </c>
      <c r="K125" s="4" t="n">
        <f aca="false">IF(H125&lt;=0,"",ROUND(J125/(H125/45),0))</f>
        <v>10</v>
      </c>
    </row>
    <row r="126" customFormat="false" ht="15" hidden="false" customHeight="false" outlineLevel="0" collapsed="false">
      <c r="A126" s="3" t="s">
        <v>101</v>
      </c>
      <c r="B126" s="3" t="s">
        <v>102</v>
      </c>
      <c r="C126" s="3" t="s">
        <v>103</v>
      </c>
      <c r="D126" s="3" t="s">
        <v>33</v>
      </c>
      <c r="E126" s="3" t="s">
        <v>16</v>
      </c>
      <c r="F126" s="3" t="s">
        <v>17</v>
      </c>
      <c r="G126" s="3" t="s">
        <v>17</v>
      </c>
      <c r="H126" s="3" t="s">
        <v>17</v>
      </c>
      <c r="I126" s="3" t="n">
        <v>4</v>
      </c>
      <c r="J126" s="3" t="s">
        <v>17</v>
      </c>
      <c r="K126" s="3" t="s">
        <v>17</v>
      </c>
    </row>
    <row r="127" customFormat="false" ht="15" hidden="false" customHeight="false" outlineLevel="0" collapsed="false">
      <c r="A127" s="4" t="s">
        <v>101</v>
      </c>
      <c r="B127" s="4" t="s">
        <v>102</v>
      </c>
      <c r="C127" s="4" t="s">
        <v>103</v>
      </c>
      <c r="D127" s="4" t="s">
        <v>34</v>
      </c>
      <c r="E127" s="4" t="s">
        <v>19</v>
      </c>
      <c r="F127" s="4" t="n">
        <v>2</v>
      </c>
      <c r="G127" s="4" t="n">
        <v>0</v>
      </c>
      <c r="H127" s="4" t="n">
        <v>8.5</v>
      </c>
      <c r="I127" s="4" t="n">
        <v>2</v>
      </c>
      <c r="J127" s="4" t="n">
        <f aca="false">G127+I127</f>
        <v>2</v>
      </c>
      <c r="K127" s="4" t="n">
        <f aca="false">IF(H127&lt;=0,"",ROUND(J127/(H127/45),0))</f>
        <v>11</v>
      </c>
    </row>
    <row r="128" customFormat="false" ht="15" hidden="false" customHeight="false" outlineLevel="0" collapsed="false">
      <c r="A128" s="4" t="s">
        <v>101</v>
      </c>
      <c r="B128" s="4" t="s">
        <v>102</v>
      </c>
      <c r="C128" s="4" t="s">
        <v>103</v>
      </c>
      <c r="D128" s="4" t="s">
        <v>53</v>
      </c>
      <c r="E128" s="4" t="s">
        <v>19</v>
      </c>
      <c r="F128" s="4" t="n">
        <v>9</v>
      </c>
      <c r="G128" s="4" t="n">
        <v>2</v>
      </c>
      <c r="H128" s="4" t="n">
        <v>30.3</v>
      </c>
      <c r="I128" s="4" t="n">
        <v>4</v>
      </c>
      <c r="J128" s="4" t="n">
        <f aca="false">G128+I128</f>
        <v>6</v>
      </c>
      <c r="K128" s="4" t="n">
        <f aca="false">IF(H128&lt;=0,"",ROUND(J128/(H128/45),0))</f>
        <v>9</v>
      </c>
    </row>
    <row r="129" customFormat="false" ht="15" hidden="false" customHeight="false" outlineLevel="0" collapsed="false">
      <c r="A129" s="4" t="s">
        <v>101</v>
      </c>
      <c r="B129" s="4" t="s">
        <v>102</v>
      </c>
      <c r="C129" s="4" t="s">
        <v>103</v>
      </c>
      <c r="D129" s="4" t="s">
        <v>18</v>
      </c>
      <c r="E129" s="4" t="s">
        <v>19</v>
      </c>
      <c r="F129" s="4" t="n">
        <v>1</v>
      </c>
      <c r="G129" s="4" t="n">
        <v>0</v>
      </c>
      <c r="H129" s="4" t="n">
        <v>7.9</v>
      </c>
      <c r="I129" s="4" t="n">
        <v>2</v>
      </c>
      <c r="J129" s="4" t="n">
        <f aca="false">G129+I129</f>
        <v>2</v>
      </c>
      <c r="K129" s="4" t="n">
        <f aca="false">IF(H129&lt;=0,"",ROUND(J129/(H129/45),0))</f>
        <v>11</v>
      </c>
    </row>
    <row r="130" customFormat="false" ht="15" hidden="false" customHeight="false" outlineLevel="0" collapsed="false">
      <c r="A130" s="4" t="s">
        <v>101</v>
      </c>
      <c r="B130" s="4" t="s">
        <v>102</v>
      </c>
      <c r="C130" s="4" t="s">
        <v>103</v>
      </c>
      <c r="D130" s="4" t="s">
        <v>39</v>
      </c>
      <c r="E130" s="4" t="s">
        <v>19</v>
      </c>
      <c r="F130" s="4" t="n">
        <v>3</v>
      </c>
      <c r="G130" s="4" t="n">
        <v>5</v>
      </c>
      <c r="H130" s="4" t="n">
        <v>13.4</v>
      </c>
      <c r="I130" s="4" t="n">
        <v>2</v>
      </c>
      <c r="J130" s="4" t="n">
        <f aca="false">G130+I130</f>
        <v>7</v>
      </c>
      <c r="K130" s="4" t="n">
        <f aca="false">IF(H130&lt;=0,"",ROUND(J130/(H130/45),0))</f>
        <v>24</v>
      </c>
    </row>
    <row r="131" customFormat="false" ht="15" hidden="false" customHeight="false" outlineLevel="0" collapsed="false">
      <c r="A131" s="4" t="s">
        <v>101</v>
      </c>
      <c r="B131" s="4" t="s">
        <v>102</v>
      </c>
      <c r="C131" s="4" t="s">
        <v>103</v>
      </c>
      <c r="D131" s="4" t="s">
        <v>70</v>
      </c>
      <c r="E131" s="4" t="s">
        <v>19</v>
      </c>
      <c r="F131" s="4" t="n">
        <v>6</v>
      </c>
      <c r="G131" s="4" t="n">
        <v>0</v>
      </c>
      <c r="H131" s="4" t="n">
        <v>20.7</v>
      </c>
      <c r="I131" s="4" t="n">
        <v>3</v>
      </c>
      <c r="J131" s="4" t="n">
        <f aca="false">G131+I131</f>
        <v>3</v>
      </c>
      <c r="K131" s="4" t="n">
        <f aca="false">IF(H131&lt;=0,"",ROUND(J131/(H131/45),0))</f>
        <v>7</v>
      </c>
    </row>
    <row r="132" customFormat="false" ht="15" hidden="false" customHeight="false" outlineLevel="0" collapsed="false">
      <c r="A132" s="4" t="s">
        <v>101</v>
      </c>
      <c r="B132" s="4" t="s">
        <v>102</v>
      </c>
      <c r="C132" s="4" t="s">
        <v>103</v>
      </c>
      <c r="D132" s="4" t="s">
        <v>40</v>
      </c>
      <c r="E132" s="4" t="s">
        <v>19</v>
      </c>
      <c r="F132" s="4" t="n">
        <v>6</v>
      </c>
      <c r="G132" s="4" t="n">
        <v>2</v>
      </c>
      <c r="H132" s="4" t="n">
        <v>22.3</v>
      </c>
      <c r="I132" s="4" t="n">
        <v>3</v>
      </c>
      <c r="J132" s="4" t="n">
        <f aca="false">G132+I132</f>
        <v>5</v>
      </c>
      <c r="K132" s="4" t="n">
        <f aca="false">IF(H132&lt;=0,"",ROUND(J132/(H132/45),0))</f>
        <v>10</v>
      </c>
    </row>
    <row r="133" customFormat="false" ht="15" hidden="false" customHeight="false" outlineLevel="0" collapsed="false">
      <c r="A133" s="4" t="s">
        <v>104</v>
      </c>
      <c r="B133" s="4" t="s">
        <v>105</v>
      </c>
      <c r="C133" s="4" t="s">
        <v>106</v>
      </c>
      <c r="D133" s="4" t="s">
        <v>74</v>
      </c>
      <c r="E133" s="4" t="s">
        <v>19</v>
      </c>
      <c r="F133" s="4" t="n">
        <v>2</v>
      </c>
      <c r="G133" s="4" t="n">
        <v>0</v>
      </c>
      <c r="H133" s="4" t="n">
        <v>6</v>
      </c>
      <c r="I133" s="4" t="n">
        <v>2</v>
      </c>
      <c r="J133" s="4" t="n">
        <f aca="false">G133+I133</f>
        <v>2</v>
      </c>
      <c r="K133" s="4" t="n">
        <f aca="false">IF(H133&lt;=0,"",ROUND(J133/(H133/45),0))</f>
        <v>15</v>
      </c>
    </row>
    <row r="134" customFormat="false" ht="15" hidden="false" customHeight="false" outlineLevel="0" collapsed="false">
      <c r="A134" s="3" t="s">
        <v>107</v>
      </c>
      <c r="B134" s="3" t="s">
        <v>108</v>
      </c>
      <c r="C134" s="3" t="s">
        <v>109</v>
      </c>
      <c r="D134" s="3" t="s">
        <v>15</v>
      </c>
      <c r="E134" s="3" t="s">
        <v>16</v>
      </c>
      <c r="F134" s="3" t="s">
        <v>17</v>
      </c>
      <c r="G134" s="3" t="s">
        <v>17</v>
      </c>
      <c r="H134" s="3" t="s">
        <v>17</v>
      </c>
      <c r="I134" s="3" t="n">
        <v>4</v>
      </c>
      <c r="J134" s="3" t="s">
        <v>17</v>
      </c>
      <c r="K134" s="3" t="s">
        <v>17</v>
      </c>
    </row>
    <row r="135" customFormat="false" ht="15" hidden="false" customHeight="false" outlineLevel="0" collapsed="false">
      <c r="A135" s="4" t="s">
        <v>107</v>
      </c>
      <c r="B135" s="4" t="s">
        <v>108</v>
      </c>
      <c r="C135" s="4" t="s">
        <v>109</v>
      </c>
      <c r="D135" s="4" t="s">
        <v>18</v>
      </c>
      <c r="E135" s="4" t="s">
        <v>19</v>
      </c>
      <c r="F135" s="4" t="n">
        <v>0</v>
      </c>
      <c r="G135" s="4" t="n">
        <v>0</v>
      </c>
      <c r="H135" s="4" t="n">
        <v>6</v>
      </c>
      <c r="I135" s="4" t="n">
        <v>2</v>
      </c>
      <c r="J135" s="4" t="n">
        <f aca="false">G135+I135</f>
        <v>2</v>
      </c>
      <c r="K135" s="4" t="n">
        <f aca="false">IF(H135&lt;=0,"",ROUND(J135/(H135/45),0))</f>
        <v>15</v>
      </c>
    </row>
    <row r="136" customFormat="false" ht="15" hidden="false" customHeight="false" outlineLevel="0" collapsed="false">
      <c r="A136" s="4" t="s">
        <v>110</v>
      </c>
      <c r="B136" s="4" t="s">
        <v>111</v>
      </c>
      <c r="C136" s="4" t="s">
        <v>112</v>
      </c>
      <c r="D136" s="4" t="s">
        <v>74</v>
      </c>
      <c r="E136" s="4" t="s">
        <v>19</v>
      </c>
      <c r="F136" s="4" t="n">
        <v>5</v>
      </c>
      <c r="G136" s="4" t="n">
        <v>8</v>
      </c>
      <c r="H136" s="4" t="n">
        <v>15</v>
      </c>
      <c r="I136" s="4" t="n">
        <v>3</v>
      </c>
      <c r="J136" s="4" t="n">
        <f aca="false">G136+I136</f>
        <v>11</v>
      </c>
      <c r="K136" s="4" t="n">
        <f aca="false">IF(H136&lt;=0,"",ROUND(J136/(H136/45),0))</f>
        <v>33</v>
      </c>
    </row>
    <row r="137" customFormat="false" ht="15" hidden="false" customHeight="false" outlineLevel="0" collapsed="false">
      <c r="A137" s="4" t="s">
        <v>110</v>
      </c>
      <c r="B137" s="4" t="s">
        <v>111</v>
      </c>
      <c r="C137" s="4" t="s">
        <v>112</v>
      </c>
      <c r="D137" s="4" t="s">
        <v>30</v>
      </c>
      <c r="E137" s="4" t="s">
        <v>19</v>
      </c>
      <c r="F137" s="4" t="n">
        <v>3</v>
      </c>
      <c r="G137" s="4" t="n">
        <v>0</v>
      </c>
      <c r="H137" s="4" t="n">
        <v>9</v>
      </c>
      <c r="I137" s="4" t="n">
        <v>3</v>
      </c>
      <c r="J137" s="4" t="n">
        <f aca="false">G137+I137</f>
        <v>3</v>
      </c>
      <c r="K137" s="4" t="n">
        <f aca="false">IF(H137&lt;=0,"",ROUND(J137/(H137/45),0))</f>
        <v>15</v>
      </c>
    </row>
    <row r="138" customFormat="false" ht="15" hidden="false" customHeight="false" outlineLevel="0" collapsed="false">
      <c r="A138" s="3" t="s">
        <v>110</v>
      </c>
      <c r="B138" s="3" t="s">
        <v>111</v>
      </c>
      <c r="C138" s="3" t="s">
        <v>112</v>
      </c>
      <c r="D138" s="3" t="s">
        <v>15</v>
      </c>
      <c r="E138" s="3" t="s">
        <v>16</v>
      </c>
      <c r="F138" s="3" t="s">
        <v>17</v>
      </c>
      <c r="G138" s="3" t="s">
        <v>17</v>
      </c>
      <c r="H138" s="3" t="s">
        <v>17</v>
      </c>
      <c r="I138" s="3" t="n">
        <v>3</v>
      </c>
      <c r="J138" s="3" t="s">
        <v>17</v>
      </c>
      <c r="K138" s="3" t="s">
        <v>17</v>
      </c>
    </row>
    <row r="139" customFormat="false" ht="15" hidden="false" customHeight="false" outlineLevel="0" collapsed="false">
      <c r="A139" s="4" t="s">
        <v>113</v>
      </c>
      <c r="B139" s="4" t="s">
        <v>114</v>
      </c>
      <c r="C139" s="4" t="s">
        <v>115</v>
      </c>
      <c r="D139" s="4" t="s">
        <v>53</v>
      </c>
      <c r="E139" s="4" t="s">
        <v>19</v>
      </c>
      <c r="F139" s="4" t="n">
        <v>0</v>
      </c>
      <c r="G139" s="4" t="n">
        <v>4</v>
      </c>
      <c r="H139" s="4" t="n">
        <v>10.7</v>
      </c>
      <c r="I139" s="4" t="n">
        <v>2</v>
      </c>
      <c r="J139" s="4" t="n">
        <f aca="false">G139+I139</f>
        <v>6</v>
      </c>
      <c r="K139" s="4" t="n">
        <f aca="false">IF(H139&lt;=0,"",ROUND(J139/(H139/45),0))</f>
        <v>25</v>
      </c>
    </row>
    <row r="140" customFormat="false" ht="15" hidden="false" customHeight="false" outlineLevel="0" collapsed="false">
      <c r="A140" s="4" t="s">
        <v>113</v>
      </c>
      <c r="B140" s="4" t="s">
        <v>114</v>
      </c>
      <c r="C140" s="4" t="s">
        <v>115</v>
      </c>
      <c r="D140" s="4" t="s">
        <v>18</v>
      </c>
      <c r="E140" s="4" t="s">
        <v>19</v>
      </c>
      <c r="F140" s="4" t="n">
        <v>1</v>
      </c>
      <c r="G140" s="4" t="n">
        <v>3</v>
      </c>
      <c r="H140" s="4" t="n">
        <v>6.9</v>
      </c>
      <c r="I140" s="4" t="n">
        <v>2</v>
      </c>
      <c r="J140" s="4" t="n">
        <f aca="false">G140+I140</f>
        <v>5</v>
      </c>
      <c r="K140" s="4" t="n">
        <f aca="false">IF(H140&lt;=0,"",ROUND(J140/(H140/45),0))</f>
        <v>33</v>
      </c>
    </row>
    <row r="141" customFormat="false" ht="15" hidden="false" customHeight="false" outlineLevel="0" collapsed="false">
      <c r="A141" s="4" t="s">
        <v>113</v>
      </c>
      <c r="B141" s="4" t="s">
        <v>114</v>
      </c>
      <c r="C141" s="4" t="s">
        <v>115</v>
      </c>
      <c r="D141" s="4" t="s">
        <v>39</v>
      </c>
      <c r="E141" s="4" t="s">
        <v>19</v>
      </c>
      <c r="F141" s="4" t="n">
        <v>2</v>
      </c>
      <c r="G141" s="4" t="n">
        <v>2</v>
      </c>
      <c r="H141" s="4" t="n">
        <v>13.6</v>
      </c>
      <c r="I141" s="4" t="n">
        <v>4</v>
      </c>
      <c r="J141" s="4" t="n">
        <f aca="false">G141+I141</f>
        <v>6</v>
      </c>
      <c r="K141" s="4" t="n">
        <f aca="false">IF(H141&lt;=0,"",ROUND(J141/(H141/45),0))</f>
        <v>20</v>
      </c>
    </row>
    <row r="142" customFormat="false" ht="15" hidden="false" customHeight="false" outlineLevel="0" collapsed="false">
      <c r="A142" s="4" t="s">
        <v>113</v>
      </c>
      <c r="B142" s="4" t="s">
        <v>114</v>
      </c>
      <c r="C142" s="4" t="s">
        <v>115</v>
      </c>
      <c r="D142" s="4" t="s">
        <v>40</v>
      </c>
      <c r="E142" s="4" t="s">
        <v>19</v>
      </c>
      <c r="F142" s="4" t="n">
        <v>1</v>
      </c>
      <c r="G142" s="4" t="n">
        <v>0</v>
      </c>
      <c r="H142" s="4" t="n">
        <v>7.4</v>
      </c>
      <c r="I142" s="4" t="n">
        <v>2</v>
      </c>
      <c r="J142" s="4" t="n">
        <f aca="false">G142+I142</f>
        <v>2</v>
      </c>
      <c r="K142" s="4" t="n">
        <f aca="false">IF(H142&lt;=0,"",ROUND(J142/(H142/45),0))</f>
        <v>12</v>
      </c>
    </row>
    <row r="143" customFormat="false" ht="15" hidden="false" customHeight="false" outlineLevel="0" collapsed="false">
      <c r="A143" s="4" t="s">
        <v>116</v>
      </c>
      <c r="B143" s="4" t="s">
        <v>117</v>
      </c>
      <c r="C143" s="4" t="s">
        <v>118</v>
      </c>
      <c r="D143" s="4" t="s">
        <v>74</v>
      </c>
      <c r="E143" s="4" t="s">
        <v>19</v>
      </c>
      <c r="F143" s="4" t="n">
        <v>3</v>
      </c>
      <c r="G143" s="4" t="n">
        <v>0</v>
      </c>
      <c r="H143" s="4" t="n">
        <v>9</v>
      </c>
      <c r="I143" s="4" t="n">
        <v>4</v>
      </c>
      <c r="J143" s="4" t="n">
        <f aca="false">G143+I143</f>
        <v>4</v>
      </c>
      <c r="K143" s="4" t="n">
        <f aca="false">IF(H143&lt;=0,"",ROUND(J143/(H143/45),0))</f>
        <v>20</v>
      </c>
    </row>
    <row r="144" customFormat="false" ht="15" hidden="false" customHeight="false" outlineLevel="0" collapsed="false">
      <c r="A144" s="4" t="s">
        <v>116</v>
      </c>
      <c r="B144" s="4" t="s">
        <v>117</v>
      </c>
      <c r="C144" s="4" t="s">
        <v>118</v>
      </c>
      <c r="D144" s="4" t="s">
        <v>30</v>
      </c>
      <c r="E144" s="4" t="s">
        <v>19</v>
      </c>
      <c r="F144" s="4" t="n">
        <v>29</v>
      </c>
      <c r="G144" s="4" t="n">
        <v>9</v>
      </c>
      <c r="H144" s="4" t="n">
        <v>87</v>
      </c>
      <c r="I144" s="4" t="n">
        <v>2</v>
      </c>
      <c r="J144" s="4" t="n">
        <f aca="false">G144+I144</f>
        <v>11</v>
      </c>
      <c r="K144" s="4" t="n">
        <f aca="false">IF(H144&lt;=0,"",ROUND(J144/(H144/45),0))</f>
        <v>6</v>
      </c>
    </row>
    <row r="145" customFormat="false" ht="15" hidden="false" customHeight="false" outlineLevel="0" collapsed="false">
      <c r="A145" s="4" t="s">
        <v>116</v>
      </c>
      <c r="B145" s="4" t="s">
        <v>117</v>
      </c>
      <c r="C145" s="4" t="s">
        <v>118</v>
      </c>
      <c r="D145" s="4" t="s">
        <v>31</v>
      </c>
      <c r="E145" s="4" t="s">
        <v>19</v>
      </c>
      <c r="F145" s="4" t="n">
        <v>6</v>
      </c>
      <c r="G145" s="4" t="n">
        <v>0</v>
      </c>
      <c r="H145" s="4" t="n">
        <v>18</v>
      </c>
      <c r="I145" s="4" t="n">
        <v>2</v>
      </c>
      <c r="J145" s="4" t="n">
        <f aca="false">G145+I145</f>
        <v>2</v>
      </c>
      <c r="K145" s="4" t="n">
        <f aca="false">IF(H145&lt;=0,"",ROUND(J145/(H145/45),0))</f>
        <v>5</v>
      </c>
    </row>
    <row r="146" customFormat="false" ht="15" hidden="false" customHeight="false" outlineLevel="0" collapsed="false">
      <c r="A146" s="4" t="s">
        <v>116</v>
      </c>
      <c r="B146" s="4" t="s">
        <v>117</v>
      </c>
      <c r="C146" s="4" t="s">
        <v>118</v>
      </c>
      <c r="D146" s="4" t="s">
        <v>75</v>
      </c>
      <c r="E146" s="4" t="s">
        <v>19</v>
      </c>
      <c r="F146" s="4" t="n">
        <v>2</v>
      </c>
      <c r="G146" s="4" t="n">
        <v>0</v>
      </c>
      <c r="H146" s="4" t="n">
        <v>6</v>
      </c>
      <c r="I146" s="4" t="n">
        <v>3</v>
      </c>
      <c r="J146" s="4" t="n">
        <f aca="false">G146+I146</f>
        <v>3</v>
      </c>
      <c r="K146" s="4" t="n">
        <f aca="false">IF(H146&lt;=0,"",ROUND(J146/(H146/45),0))</f>
        <v>23</v>
      </c>
    </row>
    <row r="147" customFormat="false" ht="15" hidden="false" customHeight="false" outlineLevel="0" collapsed="false">
      <c r="A147" s="3" t="s">
        <v>116</v>
      </c>
      <c r="B147" s="3" t="s">
        <v>117</v>
      </c>
      <c r="C147" s="3" t="s">
        <v>118</v>
      </c>
      <c r="D147" s="3" t="s">
        <v>15</v>
      </c>
      <c r="E147" s="3" t="s">
        <v>16</v>
      </c>
      <c r="F147" s="3" t="s">
        <v>17</v>
      </c>
      <c r="G147" s="3" t="s">
        <v>17</v>
      </c>
      <c r="H147" s="3" t="s">
        <v>17</v>
      </c>
      <c r="I147" s="3" t="n">
        <v>48</v>
      </c>
      <c r="J147" s="3" t="s">
        <v>17</v>
      </c>
      <c r="K147" s="3" t="s">
        <v>17</v>
      </c>
    </row>
    <row r="148" customFormat="false" ht="15" hidden="false" customHeight="false" outlineLevel="0" collapsed="false">
      <c r="A148" s="4" t="s">
        <v>116</v>
      </c>
      <c r="B148" s="4" t="s">
        <v>117</v>
      </c>
      <c r="C148" s="4" t="s">
        <v>118</v>
      </c>
      <c r="D148" s="4" t="s">
        <v>32</v>
      </c>
      <c r="E148" s="4" t="s">
        <v>19</v>
      </c>
      <c r="F148" s="4" t="n">
        <v>4</v>
      </c>
      <c r="G148" s="4" t="n">
        <v>0</v>
      </c>
      <c r="H148" s="4" t="n">
        <v>12</v>
      </c>
      <c r="I148" s="4" t="n">
        <v>5</v>
      </c>
      <c r="J148" s="4" t="n">
        <f aca="false">G148+I148</f>
        <v>5</v>
      </c>
      <c r="K148" s="4" t="n">
        <f aca="false">IF(H148&lt;=0,"",ROUND(J148/(H148/45),0))</f>
        <v>19</v>
      </c>
    </row>
    <row r="149" customFormat="false" ht="15" hidden="false" customHeight="false" outlineLevel="0" collapsed="false">
      <c r="A149" s="3" t="s">
        <v>116</v>
      </c>
      <c r="B149" s="3" t="s">
        <v>117</v>
      </c>
      <c r="C149" s="3" t="s">
        <v>118</v>
      </c>
      <c r="D149" s="3" t="s">
        <v>33</v>
      </c>
      <c r="E149" s="3" t="s">
        <v>16</v>
      </c>
      <c r="F149" s="3" t="s">
        <v>17</v>
      </c>
      <c r="G149" s="3" t="s">
        <v>17</v>
      </c>
      <c r="H149" s="3" t="s">
        <v>17</v>
      </c>
      <c r="I149" s="3" t="n">
        <v>22</v>
      </c>
      <c r="J149" s="3" t="s">
        <v>17</v>
      </c>
      <c r="K149" s="3" t="s">
        <v>17</v>
      </c>
    </row>
    <row r="150" customFormat="false" ht="15" hidden="false" customHeight="false" outlineLevel="0" collapsed="false">
      <c r="A150" s="4" t="s">
        <v>116</v>
      </c>
      <c r="B150" s="4" t="s">
        <v>117</v>
      </c>
      <c r="C150" s="4" t="s">
        <v>118</v>
      </c>
      <c r="D150" s="4" t="s">
        <v>77</v>
      </c>
      <c r="E150" s="4" t="s">
        <v>19</v>
      </c>
      <c r="F150" s="4" t="n">
        <v>5</v>
      </c>
      <c r="G150" s="4" t="n">
        <v>0</v>
      </c>
      <c r="H150" s="4" t="n">
        <v>15</v>
      </c>
      <c r="I150" s="4" t="n">
        <v>7</v>
      </c>
      <c r="J150" s="4" t="n">
        <f aca="false">G150+I150</f>
        <v>7</v>
      </c>
      <c r="K150" s="4" t="n">
        <f aca="false">IF(H150&lt;=0,"",ROUND(J150/(H150/45),0))</f>
        <v>21</v>
      </c>
    </row>
    <row r="151" customFormat="false" ht="15" hidden="false" customHeight="false" outlineLevel="0" collapsed="false">
      <c r="A151" s="4" t="s">
        <v>116</v>
      </c>
      <c r="B151" s="4" t="s">
        <v>117</v>
      </c>
      <c r="C151" s="4" t="s">
        <v>118</v>
      </c>
      <c r="D151" s="4" t="s">
        <v>66</v>
      </c>
      <c r="E151" s="4" t="s">
        <v>19</v>
      </c>
      <c r="F151" s="4" t="n">
        <v>2</v>
      </c>
      <c r="G151" s="4" t="n">
        <v>0</v>
      </c>
      <c r="H151" s="4" t="n">
        <v>6</v>
      </c>
      <c r="I151" s="4" t="n">
        <v>3</v>
      </c>
      <c r="J151" s="4" t="n">
        <f aca="false">G151+I151</f>
        <v>3</v>
      </c>
      <c r="K151" s="4" t="n">
        <f aca="false">IF(H151&lt;=0,"",ROUND(J151/(H151/45),0))</f>
        <v>23</v>
      </c>
    </row>
    <row r="152" customFormat="false" ht="15" hidden="false" customHeight="false" outlineLevel="0" collapsed="false">
      <c r="A152" s="4" t="s">
        <v>116</v>
      </c>
      <c r="B152" s="4" t="s">
        <v>117</v>
      </c>
      <c r="C152" s="4" t="s">
        <v>118</v>
      </c>
      <c r="D152" s="4" t="s">
        <v>18</v>
      </c>
      <c r="E152" s="4" t="s">
        <v>19</v>
      </c>
      <c r="F152" s="4" t="n">
        <v>12</v>
      </c>
      <c r="G152" s="4" t="n">
        <v>0</v>
      </c>
      <c r="H152" s="4" t="n">
        <v>54</v>
      </c>
      <c r="I152" s="4" t="n">
        <v>2</v>
      </c>
      <c r="J152" s="4" t="n">
        <f aca="false">G152+I152</f>
        <v>2</v>
      </c>
      <c r="K152" s="4" t="n">
        <f aca="false">IF(H152&lt;=0,"",ROUND(J152/(H152/45),0))</f>
        <v>2</v>
      </c>
    </row>
    <row r="153" customFormat="false" ht="15" hidden="false" customHeight="false" outlineLevel="0" collapsed="false">
      <c r="A153" s="4" t="s">
        <v>116</v>
      </c>
      <c r="B153" s="4" t="s">
        <v>117</v>
      </c>
      <c r="C153" s="4" t="s">
        <v>118</v>
      </c>
      <c r="D153" s="4" t="s">
        <v>39</v>
      </c>
      <c r="E153" s="4" t="s">
        <v>19</v>
      </c>
      <c r="F153" s="4" t="n">
        <v>9</v>
      </c>
      <c r="G153" s="4" t="n">
        <v>1</v>
      </c>
      <c r="H153" s="4" t="n">
        <v>27</v>
      </c>
      <c r="I153" s="4" t="n">
        <v>12</v>
      </c>
      <c r="J153" s="4" t="n">
        <f aca="false">G153+I153</f>
        <v>13</v>
      </c>
      <c r="K153" s="4" t="n">
        <f aca="false">IF(H153&lt;=0,"",ROUND(J153/(H153/45),0))</f>
        <v>22</v>
      </c>
    </row>
    <row r="154" customFormat="false" ht="15" hidden="false" customHeight="false" outlineLevel="0" collapsed="false">
      <c r="A154" s="4" t="s">
        <v>116</v>
      </c>
      <c r="B154" s="4" t="s">
        <v>117</v>
      </c>
      <c r="C154" s="4" t="s">
        <v>118</v>
      </c>
      <c r="D154" s="4" t="s">
        <v>40</v>
      </c>
      <c r="E154" s="4" t="s">
        <v>19</v>
      </c>
      <c r="F154" s="4" t="n">
        <v>6</v>
      </c>
      <c r="G154" s="4" t="n">
        <v>0</v>
      </c>
      <c r="H154" s="4" t="n">
        <v>18</v>
      </c>
      <c r="I154" s="4" t="n">
        <v>8</v>
      </c>
      <c r="J154" s="4" t="n">
        <f aca="false">G154+I154</f>
        <v>8</v>
      </c>
      <c r="K154" s="4" t="n">
        <f aca="false">IF(H154&lt;=0,"",ROUND(J154/(H154/45),0))</f>
        <v>20</v>
      </c>
    </row>
    <row r="155" customFormat="false" ht="15" hidden="false" customHeight="false" outlineLevel="0" collapsed="false">
      <c r="A155" s="4" t="s">
        <v>119</v>
      </c>
      <c r="B155" s="4" t="s">
        <v>120</v>
      </c>
      <c r="C155" s="4" t="s">
        <v>121</v>
      </c>
      <c r="D155" s="4" t="s">
        <v>66</v>
      </c>
      <c r="E155" s="4" t="s">
        <v>19</v>
      </c>
      <c r="F155" s="4" t="n">
        <v>4</v>
      </c>
      <c r="G155" s="4" t="n">
        <v>1</v>
      </c>
      <c r="H155" s="4" t="n">
        <v>12</v>
      </c>
      <c r="I155" s="4" t="n">
        <v>2</v>
      </c>
      <c r="J155" s="4" t="n">
        <f aca="false">G155+I155</f>
        <v>3</v>
      </c>
      <c r="K155" s="4" t="n">
        <f aca="false">IF(H155&lt;=0,"",ROUND(J155/(H155/45),0))</f>
        <v>11</v>
      </c>
    </row>
    <row r="156" customFormat="false" ht="15" hidden="false" customHeight="false" outlineLevel="0" collapsed="false">
      <c r="A156" s="4" t="s">
        <v>119</v>
      </c>
      <c r="B156" s="4" t="s">
        <v>120</v>
      </c>
      <c r="C156" s="4" t="s">
        <v>121</v>
      </c>
      <c r="D156" s="4" t="s">
        <v>18</v>
      </c>
      <c r="E156" s="4" t="s">
        <v>19</v>
      </c>
      <c r="F156" s="4" t="n">
        <v>0</v>
      </c>
      <c r="G156" s="4" t="n">
        <v>0</v>
      </c>
      <c r="H156" s="4" t="n">
        <v>18</v>
      </c>
      <c r="I156" s="4" t="n">
        <v>2</v>
      </c>
      <c r="J156" s="4" t="n">
        <f aca="false">G156+I156</f>
        <v>2</v>
      </c>
      <c r="K156" s="4" t="n">
        <f aca="false">IF(H156&lt;=0,"",ROUND(J156/(H156/45),0))</f>
        <v>5</v>
      </c>
    </row>
    <row r="157" customFormat="false" ht="15" hidden="false" customHeight="false" outlineLevel="0" collapsed="false">
      <c r="A157" s="3" t="s">
        <v>122</v>
      </c>
      <c r="B157" s="3" t="s">
        <v>123</v>
      </c>
      <c r="C157" s="3" t="s">
        <v>124</v>
      </c>
      <c r="D157" s="3" t="s">
        <v>15</v>
      </c>
      <c r="E157" s="3" t="s">
        <v>16</v>
      </c>
      <c r="F157" s="3" t="s">
        <v>17</v>
      </c>
      <c r="G157" s="3" t="s">
        <v>17</v>
      </c>
      <c r="H157" s="3" t="s">
        <v>17</v>
      </c>
      <c r="I157" s="3" t="n">
        <v>6</v>
      </c>
      <c r="J157" s="3" t="s">
        <v>17</v>
      </c>
      <c r="K157" s="3" t="s">
        <v>17</v>
      </c>
    </row>
    <row r="158" customFormat="false" ht="15" hidden="false" customHeight="false" outlineLevel="0" collapsed="false">
      <c r="A158" s="3" t="s">
        <v>122</v>
      </c>
      <c r="B158" s="3" t="s">
        <v>123</v>
      </c>
      <c r="C158" s="3" t="s">
        <v>124</v>
      </c>
      <c r="D158" s="3" t="s">
        <v>33</v>
      </c>
      <c r="E158" s="3" t="s">
        <v>16</v>
      </c>
      <c r="F158" s="3" t="s">
        <v>17</v>
      </c>
      <c r="G158" s="3" t="s">
        <v>17</v>
      </c>
      <c r="H158" s="3" t="s">
        <v>17</v>
      </c>
      <c r="I158" s="3" t="n">
        <v>3</v>
      </c>
      <c r="J158" s="3" t="s">
        <v>17</v>
      </c>
      <c r="K158" s="3" t="s">
        <v>17</v>
      </c>
    </row>
    <row r="159" customFormat="false" ht="15" hidden="false" customHeight="false" outlineLevel="0" collapsed="false">
      <c r="A159" s="4" t="s">
        <v>122</v>
      </c>
      <c r="B159" s="4" t="s">
        <v>123</v>
      </c>
      <c r="C159" s="4" t="s">
        <v>124</v>
      </c>
      <c r="D159" s="4" t="s">
        <v>18</v>
      </c>
      <c r="E159" s="4" t="s">
        <v>19</v>
      </c>
      <c r="F159" s="4" t="n">
        <v>0</v>
      </c>
      <c r="G159" s="4" t="n">
        <v>0</v>
      </c>
      <c r="H159" s="4" t="n">
        <v>15</v>
      </c>
      <c r="I159" s="4" t="n">
        <v>2</v>
      </c>
      <c r="J159" s="4" t="n">
        <f aca="false">G159+I159</f>
        <v>2</v>
      </c>
      <c r="K159" s="4" t="n">
        <f aca="false">IF(H159&lt;=0,"",ROUND(J159/(H159/45),0))</f>
        <v>6</v>
      </c>
    </row>
    <row r="160" customFormat="false" ht="15" hidden="false" customHeight="false" outlineLevel="0" collapsed="false">
      <c r="A160" s="3" t="s">
        <v>125</v>
      </c>
      <c r="B160" s="3" t="s">
        <v>126</v>
      </c>
      <c r="C160" s="3" t="s">
        <v>127</v>
      </c>
      <c r="D160" s="3" t="s">
        <v>15</v>
      </c>
      <c r="E160" s="3" t="s">
        <v>16</v>
      </c>
      <c r="F160" s="3" t="s">
        <v>17</v>
      </c>
      <c r="G160" s="3" t="s">
        <v>17</v>
      </c>
      <c r="H160" s="3" t="s">
        <v>17</v>
      </c>
      <c r="I160" s="3" t="n">
        <v>7</v>
      </c>
      <c r="J160" s="3" t="s">
        <v>17</v>
      </c>
      <c r="K160" s="3" t="s">
        <v>17</v>
      </c>
    </row>
    <row r="161" customFormat="false" ht="15" hidden="false" customHeight="false" outlineLevel="0" collapsed="false">
      <c r="A161" s="3" t="s">
        <v>125</v>
      </c>
      <c r="B161" s="3" t="s">
        <v>126</v>
      </c>
      <c r="C161" s="3" t="s">
        <v>127</v>
      </c>
      <c r="D161" s="3" t="s">
        <v>33</v>
      </c>
      <c r="E161" s="3" t="s">
        <v>16</v>
      </c>
      <c r="F161" s="3" t="s">
        <v>17</v>
      </c>
      <c r="G161" s="3" t="s">
        <v>17</v>
      </c>
      <c r="H161" s="3" t="s">
        <v>17</v>
      </c>
      <c r="I161" s="3" t="n">
        <v>3</v>
      </c>
      <c r="J161" s="3" t="s">
        <v>17</v>
      </c>
      <c r="K161" s="3" t="s">
        <v>17</v>
      </c>
    </row>
    <row r="162" customFormat="false" ht="15" hidden="false" customHeight="false" outlineLevel="0" collapsed="false">
      <c r="A162" s="4" t="s">
        <v>125</v>
      </c>
      <c r="B162" s="4" t="s">
        <v>126</v>
      </c>
      <c r="C162" s="4" t="s">
        <v>127</v>
      </c>
      <c r="D162" s="4" t="s">
        <v>18</v>
      </c>
      <c r="E162" s="4" t="s">
        <v>19</v>
      </c>
      <c r="F162" s="4" t="n">
        <v>1</v>
      </c>
      <c r="G162" s="4" t="n">
        <v>0</v>
      </c>
      <c r="H162" s="4" t="n">
        <v>18</v>
      </c>
      <c r="I162" s="4" t="n">
        <v>2</v>
      </c>
      <c r="J162" s="4" t="n">
        <f aca="false">G162+I162</f>
        <v>2</v>
      </c>
      <c r="K162" s="4" t="n">
        <f aca="false">IF(H162&lt;=0,"",ROUND(J162/(H162/45),0))</f>
        <v>5</v>
      </c>
    </row>
    <row r="163" customFormat="false" ht="15" hidden="false" customHeight="false" outlineLevel="0" collapsed="false">
      <c r="A163" s="3" t="s">
        <v>128</v>
      </c>
      <c r="B163" s="3" t="s">
        <v>129</v>
      </c>
      <c r="C163" s="3" t="s">
        <v>130</v>
      </c>
      <c r="D163" s="3" t="s">
        <v>15</v>
      </c>
      <c r="E163" s="3" t="s">
        <v>16</v>
      </c>
      <c r="F163" s="3" t="s">
        <v>17</v>
      </c>
      <c r="G163" s="3" t="s">
        <v>17</v>
      </c>
      <c r="H163" s="3" t="s">
        <v>17</v>
      </c>
      <c r="I163" s="3" t="n">
        <v>9</v>
      </c>
      <c r="J163" s="3" t="s">
        <v>17</v>
      </c>
      <c r="K163" s="3" t="s">
        <v>17</v>
      </c>
    </row>
    <row r="164" customFormat="false" ht="15" hidden="false" customHeight="false" outlineLevel="0" collapsed="false">
      <c r="A164" s="4" t="s">
        <v>128</v>
      </c>
      <c r="B164" s="4" t="s">
        <v>129</v>
      </c>
      <c r="C164" s="4" t="s">
        <v>130</v>
      </c>
      <c r="D164" s="4" t="s">
        <v>32</v>
      </c>
      <c r="E164" s="4" t="s">
        <v>19</v>
      </c>
      <c r="F164" s="4" t="n">
        <v>1</v>
      </c>
      <c r="G164" s="4" t="n">
        <v>0</v>
      </c>
      <c r="H164" s="4" t="n">
        <v>9.4</v>
      </c>
      <c r="I164" s="4" t="n">
        <v>3</v>
      </c>
      <c r="J164" s="4" t="n">
        <f aca="false">G164+I164</f>
        <v>3</v>
      </c>
      <c r="K164" s="4" t="n">
        <f aca="false">IF(H164&lt;=0,"",ROUND(J164/(H164/45),0))</f>
        <v>14</v>
      </c>
    </row>
    <row r="165" customFormat="false" ht="15" hidden="false" customHeight="false" outlineLevel="0" collapsed="false">
      <c r="A165" s="3" t="s">
        <v>128</v>
      </c>
      <c r="B165" s="3" t="s">
        <v>129</v>
      </c>
      <c r="C165" s="3" t="s">
        <v>130</v>
      </c>
      <c r="D165" s="3" t="s">
        <v>33</v>
      </c>
      <c r="E165" s="3" t="s">
        <v>16</v>
      </c>
      <c r="F165" s="3" t="s">
        <v>17</v>
      </c>
      <c r="G165" s="3" t="s">
        <v>17</v>
      </c>
      <c r="H165" s="3" t="s">
        <v>17</v>
      </c>
      <c r="I165" s="3" t="n">
        <v>4</v>
      </c>
      <c r="J165" s="3" t="s">
        <v>17</v>
      </c>
      <c r="K165" s="3" t="s">
        <v>17</v>
      </c>
    </row>
    <row r="166" customFormat="false" ht="15" hidden="false" customHeight="false" outlineLevel="0" collapsed="false">
      <c r="A166" s="4" t="s">
        <v>128</v>
      </c>
      <c r="B166" s="4" t="s">
        <v>129</v>
      </c>
      <c r="C166" s="4" t="s">
        <v>130</v>
      </c>
      <c r="D166" s="4" t="s">
        <v>18</v>
      </c>
      <c r="E166" s="4" t="s">
        <v>19</v>
      </c>
      <c r="F166" s="4" t="n">
        <v>0</v>
      </c>
      <c r="G166" s="4" t="n">
        <v>0</v>
      </c>
      <c r="H166" s="4" t="n">
        <v>8.5</v>
      </c>
      <c r="I166" s="4" t="n">
        <v>3</v>
      </c>
      <c r="J166" s="4" t="n">
        <f aca="false">G166+I166</f>
        <v>3</v>
      </c>
      <c r="K166" s="4" t="n">
        <f aca="false">IF(H166&lt;=0,"",ROUND(J166/(H166/45),0))</f>
        <v>16</v>
      </c>
    </row>
    <row r="167" customFormat="false" ht="15" hidden="false" customHeight="false" outlineLevel="0" collapsed="false">
      <c r="A167" s="4" t="s">
        <v>128</v>
      </c>
      <c r="B167" s="4" t="s">
        <v>129</v>
      </c>
      <c r="C167" s="4" t="s">
        <v>130</v>
      </c>
      <c r="D167" s="4" t="s">
        <v>39</v>
      </c>
      <c r="E167" s="4" t="s">
        <v>19</v>
      </c>
      <c r="F167" s="4" t="n">
        <v>0</v>
      </c>
      <c r="G167" s="4" t="n">
        <v>0</v>
      </c>
      <c r="H167" s="4" t="n">
        <v>9.5</v>
      </c>
      <c r="I167" s="4" t="n">
        <v>3</v>
      </c>
      <c r="J167" s="4" t="n">
        <f aca="false">G167+I167</f>
        <v>3</v>
      </c>
      <c r="K167" s="4" t="n">
        <f aca="false">IF(H167&lt;=0,"",ROUND(J167/(H167/45),0))</f>
        <v>14</v>
      </c>
    </row>
    <row r="168" customFormat="false" ht="15" hidden="false" customHeight="false" outlineLevel="0" collapsed="false">
      <c r="A168" s="4" t="s">
        <v>128</v>
      </c>
      <c r="B168" s="4" t="s">
        <v>129</v>
      </c>
      <c r="C168" s="4" t="s">
        <v>130</v>
      </c>
      <c r="D168" s="4" t="s">
        <v>40</v>
      </c>
      <c r="E168" s="4" t="s">
        <v>19</v>
      </c>
      <c r="F168" s="4" t="n">
        <v>0</v>
      </c>
      <c r="G168" s="4" t="n">
        <v>0</v>
      </c>
      <c r="H168" s="4" t="n">
        <v>6.1</v>
      </c>
      <c r="I168" s="4" t="n">
        <v>2</v>
      </c>
      <c r="J168" s="4" t="n">
        <f aca="false">G168+I168</f>
        <v>2</v>
      </c>
      <c r="K168" s="4" t="n">
        <f aca="false">IF(H168&lt;=0,"",ROUND(J168/(H168/45),0))</f>
        <v>15</v>
      </c>
    </row>
    <row r="169" customFormat="false" ht="15" hidden="false" customHeight="false" outlineLevel="0" collapsed="false">
      <c r="A169" s="4" t="s">
        <v>131</v>
      </c>
      <c r="B169" s="4" t="s">
        <v>132</v>
      </c>
      <c r="C169" s="4" t="s">
        <v>133</v>
      </c>
      <c r="D169" s="4" t="s">
        <v>30</v>
      </c>
      <c r="E169" s="4" t="s">
        <v>19</v>
      </c>
      <c r="F169" s="4" t="n">
        <v>22</v>
      </c>
      <c r="G169" s="4" t="n">
        <v>2</v>
      </c>
      <c r="H169" s="4" t="n">
        <v>68.2</v>
      </c>
      <c r="I169" s="4" t="n">
        <v>8</v>
      </c>
      <c r="J169" s="4" t="n">
        <f aca="false">G169+I169</f>
        <v>10</v>
      </c>
      <c r="K169" s="4" t="n">
        <f aca="false">IF(H169&lt;=0,"",ROUND(J169/(H169/45),0))</f>
        <v>7</v>
      </c>
    </row>
    <row r="170" customFormat="false" ht="15" hidden="false" customHeight="false" outlineLevel="0" collapsed="false">
      <c r="A170" s="4" t="s">
        <v>131</v>
      </c>
      <c r="B170" s="4" t="s">
        <v>132</v>
      </c>
      <c r="C170" s="4" t="s">
        <v>133</v>
      </c>
      <c r="D170" s="4" t="s">
        <v>31</v>
      </c>
      <c r="E170" s="4" t="s">
        <v>19</v>
      </c>
      <c r="F170" s="4" t="n">
        <v>21</v>
      </c>
      <c r="G170" s="4" t="n">
        <v>7</v>
      </c>
      <c r="H170" s="4" t="n">
        <v>63</v>
      </c>
      <c r="I170" s="4" t="n">
        <v>2</v>
      </c>
      <c r="J170" s="4" t="n">
        <f aca="false">G170+I170</f>
        <v>9</v>
      </c>
      <c r="K170" s="4" t="n">
        <f aca="false">IF(H170&lt;=0,"",ROUND(J170/(H170/45),0))</f>
        <v>6</v>
      </c>
    </row>
    <row r="171" customFormat="false" ht="15" hidden="false" customHeight="false" outlineLevel="0" collapsed="false">
      <c r="A171" s="4" t="s">
        <v>131</v>
      </c>
      <c r="B171" s="4" t="s">
        <v>132</v>
      </c>
      <c r="C171" s="4" t="s">
        <v>133</v>
      </c>
      <c r="D171" s="4" t="s">
        <v>76</v>
      </c>
      <c r="E171" s="4" t="s">
        <v>19</v>
      </c>
      <c r="F171" s="4" t="n">
        <v>9</v>
      </c>
      <c r="G171" s="4" t="n">
        <v>6</v>
      </c>
      <c r="H171" s="4" t="n">
        <v>27</v>
      </c>
      <c r="I171" s="4" t="n">
        <v>2</v>
      </c>
      <c r="J171" s="4" t="n">
        <f aca="false">G171+I171</f>
        <v>8</v>
      </c>
      <c r="K171" s="4" t="n">
        <f aca="false">IF(H171&lt;=0,"",ROUND(J171/(H171/45),0))</f>
        <v>13</v>
      </c>
    </row>
    <row r="172" customFormat="false" ht="15" hidden="false" customHeight="false" outlineLevel="0" collapsed="false">
      <c r="A172" s="3" t="s">
        <v>131</v>
      </c>
      <c r="B172" s="3" t="s">
        <v>132</v>
      </c>
      <c r="C172" s="3" t="s">
        <v>133</v>
      </c>
      <c r="D172" s="3" t="s">
        <v>15</v>
      </c>
      <c r="E172" s="3" t="s">
        <v>16</v>
      </c>
      <c r="F172" s="3" t="s">
        <v>17</v>
      </c>
      <c r="G172" s="3" t="s">
        <v>17</v>
      </c>
      <c r="H172" s="3" t="s">
        <v>17</v>
      </c>
      <c r="I172" s="3" t="n">
        <v>8</v>
      </c>
      <c r="J172" s="3" t="s">
        <v>17</v>
      </c>
      <c r="K172" s="3" t="s">
        <v>17</v>
      </c>
    </row>
    <row r="173" customFormat="false" ht="15" hidden="false" customHeight="false" outlineLevel="0" collapsed="false">
      <c r="A173" s="3" t="s">
        <v>131</v>
      </c>
      <c r="B173" s="3" t="s">
        <v>132</v>
      </c>
      <c r="C173" s="3" t="s">
        <v>133</v>
      </c>
      <c r="D173" s="3" t="s">
        <v>33</v>
      </c>
      <c r="E173" s="3" t="s">
        <v>16</v>
      </c>
      <c r="F173" s="3" t="s">
        <v>17</v>
      </c>
      <c r="G173" s="3" t="s">
        <v>17</v>
      </c>
      <c r="H173" s="3" t="s">
        <v>17</v>
      </c>
      <c r="I173" s="3" t="n">
        <v>3</v>
      </c>
      <c r="J173" s="3" t="s">
        <v>17</v>
      </c>
      <c r="K173" s="3" t="s">
        <v>17</v>
      </c>
    </row>
    <row r="174" customFormat="false" ht="15" hidden="false" customHeight="false" outlineLevel="0" collapsed="false">
      <c r="A174" s="4" t="s">
        <v>131</v>
      </c>
      <c r="B174" s="4" t="s">
        <v>132</v>
      </c>
      <c r="C174" s="4" t="s">
        <v>133</v>
      </c>
      <c r="D174" s="4" t="s">
        <v>53</v>
      </c>
      <c r="E174" s="4" t="s">
        <v>19</v>
      </c>
      <c r="F174" s="4" t="n">
        <v>0</v>
      </c>
      <c r="G174" s="4" t="n">
        <v>6</v>
      </c>
      <c r="H174" s="4" t="n">
        <v>32.4</v>
      </c>
      <c r="I174" s="4" t="n">
        <v>3</v>
      </c>
      <c r="J174" s="4" t="n">
        <f aca="false">G174+I174</f>
        <v>9</v>
      </c>
      <c r="K174" s="4" t="n">
        <f aca="false">IF(H174&lt;=0,"",ROUND(J174/(H174/45),0))</f>
        <v>13</v>
      </c>
    </row>
    <row r="175" customFormat="false" ht="15" hidden="false" customHeight="false" outlineLevel="0" collapsed="false">
      <c r="A175" s="4" t="s">
        <v>131</v>
      </c>
      <c r="B175" s="4" t="s">
        <v>132</v>
      </c>
      <c r="C175" s="4" t="s">
        <v>133</v>
      </c>
      <c r="D175" s="4" t="s">
        <v>18</v>
      </c>
      <c r="E175" s="4" t="s">
        <v>19</v>
      </c>
      <c r="F175" s="4" t="n">
        <v>4</v>
      </c>
      <c r="G175" s="4" t="n">
        <v>0</v>
      </c>
      <c r="H175" s="4" t="n">
        <v>16</v>
      </c>
      <c r="I175" s="4" t="n">
        <v>2</v>
      </c>
      <c r="J175" s="4" t="n">
        <f aca="false">G175+I175</f>
        <v>2</v>
      </c>
      <c r="K175" s="4" t="n">
        <f aca="false">IF(H175&lt;=0,"",ROUND(J175/(H175/45),0))</f>
        <v>6</v>
      </c>
    </row>
    <row r="176" customFormat="false" ht="15" hidden="false" customHeight="false" outlineLevel="0" collapsed="false">
      <c r="A176" s="4" t="s">
        <v>131</v>
      </c>
      <c r="B176" s="4" t="s">
        <v>132</v>
      </c>
      <c r="C176" s="4" t="s">
        <v>133</v>
      </c>
      <c r="D176" s="4" t="s">
        <v>70</v>
      </c>
      <c r="E176" s="4" t="s">
        <v>19</v>
      </c>
      <c r="F176" s="4" t="n">
        <v>4</v>
      </c>
      <c r="G176" s="4" t="n">
        <v>11</v>
      </c>
      <c r="H176" s="4" t="n">
        <v>12</v>
      </c>
      <c r="I176" s="4" t="n">
        <v>2</v>
      </c>
      <c r="J176" s="4" t="n">
        <f aca="false">G176+I176</f>
        <v>13</v>
      </c>
      <c r="K176" s="4" t="n">
        <f aca="false">IF(H176&lt;=0,"",ROUND(J176/(H176/45),0))</f>
        <v>49</v>
      </c>
    </row>
    <row r="177" customFormat="false" ht="15" hidden="false" customHeight="false" outlineLevel="0" collapsed="false">
      <c r="A177" s="4" t="s">
        <v>131</v>
      </c>
      <c r="B177" s="4" t="s">
        <v>132</v>
      </c>
      <c r="C177" s="4" t="s">
        <v>133</v>
      </c>
      <c r="D177" s="4" t="s">
        <v>40</v>
      </c>
      <c r="E177" s="4" t="s">
        <v>19</v>
      </c>
      <c r="F177" s="4" t="n">
        <v>3</v>
      </c>
      <c r="G177" s="4" t="n">
        <v>5</v>
      </c>
      <c r="H177" s="4" t="n">
        <v>27.2</v>
      </c>
      <c r="I177" s="4" t="n">
        <v>3</v>
      </c>
      <c r="J177" s="4" t="n">
        <f aca="false">G177+I177</f>
        <v>8</v>
      </c>
      <c r="K177" s="4" t="n">
        <f aca="false">IF(H177&lt;=0,"",ROUND(J177/(H177/45),0))</f>
        <v>13</v>
      </c>
    </row>
    <row r="178" customFormat="false" ht="15" hidden="false" customHeight="false" outlineLevel="0" collapsed="false">
      <c r="A178" s="4" t="s">
        <v>134</v>
      </c>
      <c r="B178" s="4" t="s">
        <v>135</v>
      </c>
      <c r="C178" s="4" t="s">
        <v>136</v>
      </c>
      <c r="D178" s="4" t="s">
        <v>74</v>
      </c>
      <c r="E178" s="4" t="s">
        <v>19</v>
      </c>
      <c r="F178" s="4" t="n">
        <v>4</v>
      </c>
      <c r="G178" s="4" t="n">
        <v>4</v>
      </c>
      <c r="H178" s="4" t="n">
        <v>12</v>
      </c>
      <c r="I178" s="4" t="n">
        <v>5</v>
      </c>
      <c r="J178" s="4" t="n">
        <f aca="false">G178+I178</f>
        <v>9</v>
      </c>
      <c r="K178" s="4" t="n">
        <f aca="false">IF(H178&lt;=0,"",ROUND(J178/(H178/45),0))</f>
        <v>34</v>
      </c>
    </row>
    <row r="179" customFormat="false" ht="15" hidden="false" customHeight="false" outlineLevel="0" collapsed="false">
      <c r="A179" s="4" t="s">
        <v>134</v>
      </c>
      <c r="B179" s="4" t="s">
        <v>135</v>
      </c>
      <c r="C179" s="4" t="s">
        <v>136</v>
      </c>
      <c r="D179" s="4" t="s">
        <v>30</v>
      </c>
      <c r="E179" s="4" t="s">
        <v>19</v>
      </c>
      <c r="F179" s="4" t="n">
        <v>4</v>
      </c>
      <c r="G179" s="4" t="n">
        <v>2</v>
      </c>
      <c r="H179" s="4" t="n">
        <v>12</v>
      </c>
      <c r="I179" s="4" t="n">
        <v>6</v>
      </c>
      <c r="J179" s="4" t="n">
        <f aca="false">G179+I179</f>
        <v>8</v>
      </c>
      <c r="K179" s="4" t="n">
        <f aca="false">IF(H179&lt;=0,"",ROUND(J179/(H179/45),0))</f>
        <v>30</v>
      </c>
    </row>
    <row r="180" customFormat="false" ht="15" hidden="false" customHeight="false" outlineLevel="0" collapsed="false">
      <c r="A180" s="4" t="s">
        <v>134</v>
      </c>
      <c r="B180" s="4" t="s">
        <v>135</v>
      </c>
      <c r="C180" s="4" t="s">
        <v>136</v>
      </c>
      <c r="D180" s="4" t="s">
        <v>31</v>
      </c>
      <c r="E180" s="4" t="s">
        <v>19</v>
      </c>
      <c r="F180" s="4" t="n">
        <v>8</v>
      </c>
      <c r="G180" s="4" t="n">
        <v>1</v>
      </c>
      <c r="H180" s="4" t="n">
        <v>24</v>
      </c>
      <c r="I180" s="4" t="n">
        <v>2</v>
      </c>
      <c r="J180" s="4" t="n">
        <f aca="false">G180+I180</f>
        <v>3</v>
      </c>
      <c r="K180" s="4" t="n">
        <f aca="false">IF(H180&lt;=0,"",ROUND(J180/(H180/45),0))</f>
        <v>6</v>
      </c>
    </row>
    <row r="181" customFormat="false" ht="15" hidden="false" customHeight="false" outlineLevel="0" collapsed="false">
      <c r="A181" s="3" t="s">
        <v>134</v>
      </c>
      <c r="B181" s="3" t="s">
        <v>135</v>
      </c>
      <c r="C181" s="3" t="s">
        <v>136</v>
      </c>
      <c r="D181" s="3" t="s">
        <v>15</v>
      </c>
      <c r="E181" s="3" t="s">
        <v>16</v>
      </c>
      <c r="F181" s="3" t="s">
        <v>17</v>
      </c>
      <c r="G181" s="3" t="s">
        <v>17</v>
      </c>
      <c r="H181" s="3" t="s">
        <v>17</v>
      </c>
      <c r="I181" s="3" t="n">
        <v>17</v>
      </c>
      <c r="J181" s="3" t="s">
        <v>17</v>
      </c>
      <c r="K181" s="3" t="s">
        <v>17</v>
      </c>
    </row>
    <row r="182" customFormat="false" ht="15" hidden="false" customHeight="false" outlineLevel="0" collapsed="false">
      <c r="A182" s="3" t="s">
        <v>134</v>
      </c>
      <c r="B182" s="3" t="s">
        <v>135</v>
      </c>
      <c r="C182" s="3" t="s">
        <v>136</v>
      </c>
      <c r="D182" s="3" t="s">
        <v>33</v>
      </c>
      <c r="E182" s="3" t="s">
        <v>16</v>
      </c>
      <c r="F182" s="3" t="s">
        <v>17</v>
      </c>
      <c r="G182" s="3" t="s">
        <v>17</v>
      </c>
      <c r="H182" s="3" t="s">
        <v>17</v>
      </c>
      <c r="I182" s="3" t="n">
        <v>7</v>
      </c>
      <c r="J182" s="3" t="s">
        <v>17</v>
      </c>
      <c r="K182" s="3" t="s">
        <v>17</v>
      </c>
    </row>
    <row r="183" customFormat="false" ht="15" hidden="false" customHeight="false" outlineLevel="0" collapsed="false">
      <c r="A183" s="4" t="s">
        <v>134</v>
      </c>
      <c r="B183" s="4" t="s">
        <v>135</v>
      </c>
      <c r="C183" s="4" t="s">
        <v>136</v>
      </c>
      <c r="D183" s="4" t="s">
        <v>53</v>
      </c>
      <c r="E183" s="4" t="s">
        <v>19</v>
      </c>
      <c r="F183" s="4" t="n">
        <v>3</v>
      </c>
      <c r="G183" s="4" t="n">
        <v>4</v>
      </c>
      <c r="H183" s="4" t="n">
        <v>9</v>
      </c>
      <c r="I183" s="4" t="n">
        <v>3</v>
      </c>
      <c r="J183" s="4" t="n">
        <f aca="false">G183+I183</f>
        <v>7</v>
      </c>
      <c r="K183" s="4" t="n">
        <f aca="false">IF(H183&lt;=0,"",ROUND(J183/(H183/45),0))</f>
        <v>35</v>
      </c>
    </row>
    <row r="184" customFormat="false" ht="15" hidden="false" customHeight="false" outlineLevel="0" collapsed="false">
      <c r="A184" s="4" t="s">
        <v>134</v>
      </c>
      <c r="B184" s="4" t="s">
        <v>135</v>
      </c>
      <c r="C184" s="4" t="s">
        <v>136</v>
      </c>
      <c r="D184" s="4" t="s">
        <v>35</v>
      </c>
      <c r="E184" s="4" t="s">
        <v>19</v>
      </c>
      <c r="F184" s="4" t="n">
        <v>4</v>
      </c>
      <c r="G184" s="4" t="n">
        <v>1</v>
      </c>
      <c r="H184" s="4" t="n">
        <v>12</v>
      </c>
      <c r="I184" s="4" t="n">
        <v>7</v>
      </c>
      <c r="J184" s="4" t="n">
        <f aca="false">G184+I184</f>
        <v>8</v>
      </c>
      <c r="K184" s="4" t="n">
        <f aca="false">IF(H184&lt;=0,"",ROUND(J184/(H184/45),0))</f>
        <v>30</v>
      </c>
    </row>
    <row r="185" customFormat="false" ht="15" hidden="false" customHeight="false" outlineLevel="0" collapsed="false">
      <c r="A185" s="4" t="s">
        <v>134</v>
      </c>
      <c r="B185" s="4" t="s">
        <v>135</v>
      </c>
      <c r="C185" s="4" t="s">
        <v>136</v>
      </c>
      <c r="D185" s="4" t="s">
        <v>18</v>
      </c>
      <c r="E185" s="4" t="s">
        <v>19</v>
      </c>
      <c r="F185" s="4" t="n">
        <v>1</v>
      </c>
      <c r="G185" s="4" t="n">
        <v>0</v>
      </c>
      <c r="H185" s="4" t="n">
        <v>18</v>
      </c>
      <c r="I185" s="4" t="n">
        <v>2</v>
      </c>
      <c r="J185" s="4" t="n">
        <f aca="false">G185+I185</f>
        <v>2</v>
      </c>
      <c r="K185" s="4" t="n">
        <f aca="false">IF(H185&lt;=0,"",ROUND(J185/(H185/45),0))</f>
        <v>5</v>
      </c>
    </row>
    <row r="186" customFormat="false" ht="15" hidden="false" customHeight="false" outlineLevel="0" collapsed="false">
      <c r="A186" s="4" t="s">
        <v>134</v>
      </c>
      <c r="B186" s="4" t="s">
        <v>135</v>
      </c>
      <c r="C186" s="4" t="s">
        <v>136</v>
      </c>
      <c r="D186" s="4" t="s">
        <v>70</v>
      </c>
      <c r="E186" s="4" t="s">
        <v>19</v>
      </c>
      <c r="F186" s="4" t="n">
        <v>2</v>
      </c>
      <c r="G186" s="4" t="n">
        <v>1</v>
      </c>
      <c r="H186" s="4" t="n">
        <v>6</v>
      </c>
      <c r="I186" s="4" t="n">
        <v>3</v>
      </c>
      <c r="J186" s="4" t="n">
        <f aca="false">G186+I186</f>
        <v>4</v>
      </c>
      <c r="K186" s="4" t="n">
        <f aca="false">IF(H186&lt;=0,"",ROUND(J186/(H186/45),0))</f>
        <v>30</v>
      </c>
    </row>
    <row r="187" customFormat="false" ht="15" hidden="false" customHeight="false" outlineLevel="0" collapsed="false">
      <c r="A187" s="4" t="s">
        <v>137</v>
      </c>
      <c r="B187" s="4" t="s">
        <v>138</v>
      </c>
      <c r="C187" s="4" t="s">
        <v>139</v>
      </c>
      <c r="D187" s="4" t="s">
        <v>18</v>
      </c>
      <c r="E187" s="4" t="s">
        <v>19</v>
      </c>
      <c r="F187" s="4" t="n">
        <v>0</v>
      </c>
      <c r="G187" s="4" t="n">
        <v>0</v>
      </c>
      <c r="H187" s="4" t="n">
        <v>15</v>
      </c>
      <c r="I187" s="4" t="n">
        <v>2</v>
      </c>
      <c r="J187" s="4" t="n">
        <f aca="false">G187+I187</f>
        <v>2</v>
      </c>
      <c r="K187" s="4" t="n">
        <f aca="false">IF(H187&lt;=0,"",ROUND(J187/(H187/45),0))</f>
        <v>6</v>
      </c>
    </row>
    <row r="188" customFormat="false" ht="15" hidden="false" customHeight="false" outlineLevel="0" collapsed="false">
      <c r="A188" s="3" t="s">
        <v>140</v>
      </c>
      <c r="B188" s="3" t="s">
        <v>141</v>
      </c>
      <c r="C188" s="3" t="s">
        <v>142</v>
      </c>
      <c r="D188" s="3" t="s">
        <v>15</v>
      </c>
      <c r="E188" s="3" t="s">
        <v>16</v>
      </c>
      <c r="F188" s="3" t="s">
        <v>17</v>
      </c>
      <c r="G188" s="3" t="s">
        <v>17</v>
      </c>
      <c r="H188" s="3" t="s">
        <v>17</v>
      </c>
      <c r="I188" s="3" t="n">
        <v>3</v>
      </c>
      <c r="J188" s="3" t="s">
        <v>17</v>
      </c>
      <c r="K188" s="3" t="s">
        <v>17</v>
      </c>
    </row>
    <row r="189" customFormat="false" ht="15" hidden="false" customHeight="false" outlineLevel="0" collapsed="false">
      <c r="A189" s="3" t="s">
        <v>140</v>
      </c>
      <c r="B189" s="3" t="s">
        <v>141</v>
      </c>
      <c r="C189" s="3" t="s">
        <v>142</v>
      </c>
      <c r="D189" s="3" t="s">
        <v>33</v>
      </c>
      <c r="E189" s="3" t="s">
        <v>16</v>
      </c>
      <c r="F189" s="3" t="s">
        <v>17</v>
      </c>
      <c r="G189" s="3" t="s">
        <v>17</v>
      </c>
      <c r="H189" s="3" t="s">
        <v>17</v>
      </c>
      <c r="I189" s="3" t="n">
        <v>2</v>
      </c>
      <c r="J189" s="3" t="s">
        <v>17</v>
      </c>
      <c r="K189" s="3" t="s">
        <v>17</v>
      </c>
    </row>
    <row r="190" customFormat="false" ht="15" hidden="false" customHeight="false" outlineLevel="0" collapsed="false">
      <c r="A190" s="4" t="s">
        <v>140</v>
      </c>
      <c r="B190" s="4" t="s">
        <v>141</v>
      </c>
      <c r="C190" s="4" t="s">
        <v>142</v>
      </c>
      <c r="D190" s="4" t="s">
        <v>53</v>
      </c>
      <c r="E190" s="4" t="s">
        <v>19</v>
      </c>
      <c r="F190" s="4" t="n">
        <v>5</v>
      </c>
      <c r="G190" s="4" t="n">
        <v>2</v>
      </c>
      <c r="H190" s="4" t="n">
        <v>18.3</v>
      </c>
      <c r="I190" s="4" t="n">
        <v>15</v>
      </c>
      <c r="J190" s="4" t="n">
        <f aca="false">G190+I190</f>
        <v>17</v>
      </c>
      <c r="K190" s="4" t="n">
        <f aca="false">IF(H190&lt;=0,"",ROUND(J190/(H190/45),0))</f>
        <v>42</v>
      </c>
    </row>
    <row r="191" customFormat="false" ht="15" hidden="false" customHeight="false" outlineLevel="0" collapsed="false">
      <c r="A191" s="4" t="s">
        <v>140</v>
      </c>
      <c r="B191" s="4" t="s">
        <v>141</v>
      </c>
      <c r="C191" s="4" t="s">
        <v>142</v>
      </c>
      <c r="D191" s="4" t="s">
        <v>18</v>
      </c>
      <c r="E191" s="4" t="s">
        <v>19</v>
      </c>
      <c r="F191" s="4" t="n">
        <v>1</v>
      </c>
      <c r="G191" s="4" t="n">
        <v>0</v>
      </c>
      <c r="H191" s="4" t="n">
        <v>7.8</v>
      </c>
      <c r="I191" s="4" t="n">
        <v>2</v>
      </c>
      <c r="J191" s="4" t="n">
        <f aca="false">G191+I191</f>
        <v>2</v>
      </c>
      <c r="K191" s="4" t="n">
        <f aca="false">IF(H191&lt;=0,"",ROUND(J191/(H191/45),0))</f>
        <v>12</v>
      </c>
    </row>
    <row r="192" customFormat="false" ht="15" hidden="false" customHeight="false" outlineLevel="0" collapsed="false">
      <c r="A192" s="4" t="s">
        <v>140</v>
      </c>
      <c r="B192" s="4" t="s">
        <v>141</v>
      </c>
      <c r="C192" s="4" t="s">
        <v>142</v>
      </c>
      <c r="D192" s="4" t="s">
        <v>39</v>
      </c>
      <c r="E192" s="4" t="s">
        <v>19</v>
      </c>
      <c r="F192" s="4" t="n">
        <v>1</v>
      </c>
      <c r="G192" s="4" t="n">
        <v>0</v>
      </c>
      <c r="H192" s="4" t="n">
        <v>7.3</v>
      </c>
      <c r="I192" s="4" t="n">
        <v>7</v>
      </c>
      <c r="J192" s="4" t="n">
        <f aca="false">G192+I192</f>
        <v>7</v>
      </c>
      <c r="K192" s="4" t="n">
        <f aca="false">IF(H192&lt;=0,"",ROUND(J192/(H192/45),0))</f>
        <v>43</v>
      </c>
    </row>
    <row r="193" customFormat="false" ht="15" hidden="false" customHeight="false" outlineLevel="0" collapsed="false">
      <c r="A193" s="4" t="s">
        <v>140</v>
      </c>
      <c r="B193" s="4" t="s">
        <v>141</v>
      </c>
      <c r="C193" s="4" t="s">
        <v>142</v>
      </c>
      <c r="D193" s="4" t="s">
        <v>40</v>
      </c>
      <c r="E193" s="4" t="s">
        <v>19</v>
      </c>
      <c r="F193" s="4" t="n">
        <v>2</v>
      </c>
      <c r="G193" s="4" t="n">
        <v>0</v>
      </c>
      <c r="H193" s="4" t="n">
        <v>10.3</v>
      </c>
      <c r="I193" s="4" t="n">
        <v>10</v>
      </c>
      <c r="J193" s="4" t="n">
        <f aca="false">G193+I193</f>
        <v>10</v>
      </c>
      <c r="K193" s="4" t="n">
        <f aca="false">IF(H193&lt;=0,"",ROUND(J193/(H193/45),0))</f>
        <v>44</v>
      </c>
    </row>
    <row r="194" customFormat="false" ht="15" hidden="false" customHeight="false" outlineLevel="0" collapsed="false">
      <c r="A194" s="4" t="s">
        <v>143</v>
      </c>
      <c r="B194" s="4" t="s">
        <v>144</v>
      </c>
      <c r="C194" s="4" t="s">
        <v>145</v>
      </c>
      <c r="D194" s="4" t="s">
        <v>32</v>
      </c>
      <c r="E194" s="4" t="s">
        <v>19</v>
      </c>
      <c r="F194" s="4" t="n">
        <v>3</v>
      </c>
      <c r="G194" s="4" t="n">
        <v>0</v>
      </c>
      <c r="H194" s="4" t="n">
        <v>11.8</v>
      </c>
      <c r="I194" s="4" t="n">
        <v>5</v>
      </c>
      <c r="J194" s="4" t="n">
        <f aca="false">G194+I194</f>
        <v>5</v>
      </c>
      <c r="K194" s="4" t="n">
        <f aca="false">IF(H194&lt;=0,"",ROUND(J194/(H194/45),0))</f>
        <v>19</v>
      </c>
    </row>
    <row r="195" customFormat="false" ht="15" hidden="false" customHeight="false" outlineLevel="0" collapsed="false">
      <c r="A195" s="4" t="s">
        <v>143</v>
      </c>
      <c r="B195" s="4" t="s">
        <v>144</v>
      </c>
      <c r="C195" s="4" t="s">
        <v>145</v>
      </c>
      <c r="D195" s="4" t="s">
        <v>18</v>
      </c>
      <c r="E195" s="4" t="s">
        <v>19</v>
      </c>
      <c r="F195" s="4" t="n">
        <v>1</v>
      </c>
      <c r="G195" s="4" t="n">
        <v>0</v>
      </c>
      <c r="H195" s="4" t="n">
        <v>7.3</v>
      </c>
      <c r="I195" s="4" t="n">
        <v>3</v>
      </c>
      <c r="J195" s="4" t="n">
        <f aca="false">G195+I195</f>
        <v>3</v>
      </c>
      <c r="K195" s="4" t="n">
        <f aca="false">IF(H195&lt;=0,"",ROUND(J195/(H195/45),0))</f>
        <v>18</v>
      </c>
    </row>
    <row r="196" customFormat="false" ht="15" hidden="false" customHeight="false" outlineLevel="0" collapsed="false">
      <c r="A196" s="4" t="s">
        <v>146</v>
      </c>
      <c r="B196" s="4" t="s">
        <v>147</v>
      </c>
      <c r="C196" s="4" t="s">
        <v>148</v>
      </c>
      <c r="D196" s="4" t="s">
        <v>18</v>
      </c>
      <c r="E196" s="4" t="s">
        <v>19</v>
      </c>
      <c r="F196" s="4" t="n">
        <v>0</v>
      </c>
      <c r="G196" s="4" t="n">
        <v>0</v>
      </c>
      <c r="H196" s="4" t="n">
        <v>6.7</v>
      </c>
      <c r="I196" s="4" t="n">
        <v>2</v>
      </c>
      <c r="J196" s="4" t="n">
        <f aca="false">G196+I196</f>
        <v>2</v>
      </c>
      <c r="K196" s="4" t="n">
        <f aca="false">IF(H196&lt;=0,"",ROUND(J196/(H196/45),0))</f>
        <v>13</v>
      </c>
    </row>
    <row r="197" customFormat="false" ht="15" hidden="false" customHeight="false" outlineLevel="0" collapsed="false">
      <c r="A197" s="4" t="s">
        <v>146</v>
      </c>
      <c r="B197" s="4" t="s">
        <v>147</v>
      </c>
      <c r="C197" s="4" t="s">
        <v>148</v>
      </c>
      <c r="D197" s="4" t="s">
        <v>39</v>
      </c>
      <c r="E197" s="4" t="s">
        <v>19</v>
      </c>
      <c r="F197" s="4" t="n">
        <v>0</v>
      </c>
      <c r="G197" s="4" t="n">
        <v>0</v>
      </c>
      <c r="H197" s="4" t="n">
        <v>6</v>
      </c>
      <c r="I197" s="4" t="n">
        <v>2</v>
      </c>
      <c r="J197" s="4" t="n">
        <f aca="false">G197+I197</f>
        <v>2</v>
      </c>
      <c r="K197" s="4" t="n">
        <f aca="false">IF(H197&lt;=0,"",ROUND(J197/(H197/45),0))</f>
        <v>15</v>
      </c>
    </row>
    <row r="198" customFormat="false" ht="15" hidden="false" customHeight="false" outlineLevel="0" collapsed="false">
      <c r="A198" s="4" t="s">
        <v>149</v>
      </c>
      <c r="B198" s="4" t="s">
        <v>150</v>
      </c>
      <c r="C198" s="4" t="s">
        <v>151</v>
      </c>
      <c r="D198" s="4" t="s">
        <v>29</v>
      </c>
      <c r="E198" s="4" t="s">
        <v>19</v>
      </c>
      <c r="F198" s="4" t="n">
        <v>1</v>
      </c>
      <c r="G198" s="4" t="n">
        <v>0</v>
      </c>
      <c r="H198" s="4" t="n">
        <v>6.5</v>
      </c>
      <c r="I198" s="4" t="n">
        <v>2</v>
      </c>
      <c r="J198" s="4" t="n">
        <f aca="false">G198+I198</f>
        <v>2</v>
      </c>
      <c r="K198" s="4" t="n">
        <f aca="false">IF(H198&lt;=0,"",ROUND(J198/(H198/45),0))</f>
        <v>14</v>
      </c>
    </row>
    <row r="199" customFormat="false" ht="15" hidden="false" customHeight="false" outlineLevel="0" collapsed="false">
      <c r="A199" s="4" t="s">
        <v>149</v>
      </c>
      <c r="B199" s="4" t="s">
        <v>150</v>
      </c>
      <c r="C199" s="4" t="s">
        <v>151</v>
      </c>
      <c r="D199" s="4" t="s">
        <v>74</v>
      </c>
      <c r="E199" s="4" t="s">
        <v>19</v>
      </c>
      <c r="F199" s="4" t="n">
        <v>10</v>
      </c>
      <c r="G199" s="4" t="n">
        <v>1</v>
      </c>
      <c r="H199" s="4" t="n">
        <v>34.4</v>
      </c>
      <c r="I199" s="4" t="n">
        <v>2</v>
      </c>
      <c r="J199" s="4" t="n">
        <f aca="false">G199+I199</f>
        <v>3</v>
      </c>
      <c r="K199" s="4" t="n">
        <f aca="false">IF(H199&lt;=0,"",ROUND(J199/(H199/45),0))</f>
        <v>4</v>
      </c>
    </row>
    <row r="200" customFormat="false" ht="15" hidden="false" customHeight="false" outlineLevel="0" collapsed="false">
      <c r="A200" s="4" t="s">
        <v>149</v>
      </c>
      <c r="B200" s="4" t="s">
        <v>150</v>
      </c>
      <c r="C200" s="4" t="s">
        <v>151</v>
      </c>
      <c r="D200" s="4" t="s">
        <v>30</v>
      </c>
      <c r="E200" s="4" t="s">
        <v>19</v>
      </c>
      <c r="F200" s="4" t="n">
        <v>12</v>
      </c>
      <c r="G200" s="4" t="n">
        <v>0</v>
      </c>
      <c r="H200" s="4" t="n">
        <v>42.1</v>
      </c>
      <c r="I200" s="4" t="n">
        <v>3</v>
      </c>
      <c r="J200" s="4" t="n">
        <f aca="false">G200+I200</f>
        <v>3</v>
      </c>
      <c r="K200" s="4" t="n">
        <f aca="false">IF(H200&lt;=0,"",ROUND(J200/(H200/45),0))</f>
        <v>3</v>
      </c>
    </row>
    <row r="201" customFormat="false" ht="15" hidden="false" customHeight="false" outlineLevel="0" collapsed="false">
      <c r="A201" s="4" t="s">
        <v>149</v>
      </c>
      <c r="B201" s="4" t="s">
        <v>150</v>
      </c>
      <c r="C201" s="4" t="s">
        <v>151</v>
      </c>
      <c r="D201" s="4" t="s">
        <v>31</v>
      </c>
      <c r="E201" s="4" t="s">
        <v>19</v>
      </c>
      <c r="F201" s="4" t="n">
        <v>11</v>
      </c>
      <c r="G201" s="4" t="n">
        <v>1</v>
      </c>
      <c r="H201" s="4" t="n">
        <v>35</v>
      </c>
      <c r="I201" s="4" t="n">
        <v>3</v>
      </c>
      <c r="J201" s="4" t="n">
        <f aca="false">G201+I201</f>
        <v>4</v>
      </c>
      <c r="K201" s="4" t="n">
        <f aca="false">IF(H201&lt;=0,"",ROUND(J201/(H201/45),0))</f>
        <v>5</v>
      </c>
    </row>
    <row r="202" customFormat="false" ht="15" hidden="false" customHeight="false" outlineLevel="0" collapsed="false">
      <c r="A202" s="3" t="s">
        <v>149</v>
      </c>
      <c r="B202" s="3" t="s">
        <v>150</v>
      </c>
      <c r="C202" s="3" t="s">
        <v>151</v>
      </c>
      <c r="D202" s="3" t="s">
        <v>15</v>
      </c>
      <c r="E202" s="3" t="s">
        <v>16</v>
      </c>
      <c r="F202" s="3" t="s">
        <v>17</v>
      </c>
      <c r="G202" s="3" t="s">
        <v>17</v>
      </c>
      <c r="H202" s="3" t="s">
        <v>17</v>
      </c>
      <c r="I202" s="3" t="n">
        <v>4</v>
      </c>
      <c r="J202" s="3" t="s">
        <v>17</v>
      </c>
      <c r="K202" s="3" t="s">
        <v>17</v>
      </c>
    </row>
    <row r="203" customFormat="false" ht="15" hidden="false" customHeight="false" outlineLevel="0" collapsed="false">
      <c r="A203" s="4" t="s">
        <v>149</v>
      </c>
      <c r="B203" s="4" t="s">
        <v>150</v>
      </c>
      <c r="C203" s="4" t="s">
        <v>151</v>
      </c>
      <c r="D203" s="4" t="s">
        <v>32</v>
      </c>
      <c r="E203" s="4" t="s">
        <v>19</v>
      </c>
      <c r="F203" s="4" t="n">
        <v>2</v>
      </c>
      <c r="G203" s="4" t="n">
        <v>0</v>
      </c>
      <c r="H203" s="4" t="n">
        <v>16.2</v>
      </c>
      <c r="I203" s="4" t="n">
        <v>2</v>
      </c>
      <c r="J203" s="4" t="n">
        <f aca="false">G203+I203</f>
        <v>2</v>
      </c>
      <c r="K203" s="4" t="n">
        <f aca="false">IF(H203&lt;=0,"",ROUND(J203/(H203/45),0))</f>
        <v>6</v>
      </c>
    </row>
    <row r="204" customFormat="false" ht="15" hidden="false" customHeight="false" outlineLevel="0" collapsed="false">
      <c r="A204" s="4" t="s">
        <v>149</v>
      </c>
      <c r="B204" s="4" t="s">
        <v>150</v>
      </c>
      <c r="C204" s="4" t="s">
        <v>151</v>
      </c>
      <c r="D204" s="4" t="s">
        <v>66</v>
      </c>
      <c r="E204" s="4" t="s">
        <v>19</v>
      </c>
      <c r="F204" s="4" t="n">
        <v>2</v>
      </c>
      <c r="G204" s="4" t="n">
        <v>9</v>
      </c>
      <c r="H204" s="4" t="n">
        <v>14.9</v>
      </c>
      <c r="I204" s="4" t="n">
        <v>2</v>
      </c>
      <c r="J204" s="4" t="n">
        <f aca="false">G204+I204</f>
        <v>11</v>
      </c>
      <c r="K204" s="4" t="n">
        <f aca="false">IF(H204&lt;=0,"",ROUND(J204/(H204/45),0))</f>
        <v>33</v>
      </c>
    </row>
    <row r="205" customFormat="false" ht="15" hidden="false" customHeight="false" outlineLevel="0" collapsed="false">
      <c r="A205" s="4" t="s">
        <v>149</v>
      </c>
      <c r="B205" s="4" t="s">
        <v>150</v>
      </c>
      <c r="C205" s="4" t="s">
        <v>151</v>
      </c>
      <c r="D205" s="4" t="s">
        <v>34</v>
      </c>
      <c r="E205" s="4" t="s">
        <v>19</v>
      </c>
      <c r="F205" s="4" t="n">
        <v>1</v>
      </c>
      <c r="G205" s="4" t="n">
        <v>0</v>
      </c>
      <c r="H205" s="4" t="n">
        <v>10.9</v>
      </c>
      <c r="I205" s="4" t="n">
        <v>2</v>
      </c>
      <c r="J205" s="4" t="n">
        <f aca="false">G205+I205</f>
        <v>2</v>
      </c>
      <c r="K205" s="4" t="n">
        <f aca="false">IF(H205&lt;=0,"",ROUND(J205/(H205/45),0))</f>
        <v>8</v>
      </c>
    </row>
    <row r="206" customFormat="false" ht="15" hidden="false" customHeight="false" outlineLevel="0" collapsed="false">
      <c r="A206" s="4" t="s">
        <v>149</v>
      </c>
      <c r="B206" s="4" t="s">
        <v>150</v>
      </c>
      <c r="C206" s="4" t="s">
        <v>151</v>
      </c>
      <c r="D206" s="4" t="s">
        <v>53</v>
      </c>
      <c r="E206" s="4" t="s">
        <v>19</v>
      </c>
      <c r="F206" s="4" t="n">
        <v>17</v>
      </c>
      <c r="G206" s="4" t="n">
        <v>2</v>
      </c>
      <c r="H206" s="4" t="n">
        <v>54.2</v>
      </c>
      <c r="I206" s="4" t="n">
        <v>4</v>
      </c>
      <c r="J206" s="4" t="n">
        <f aca="false">G206+I206</f>
        <v>6</v>
      </c>
      <c r="K206" s="4" t="n">
        <f aca="false">IF(H206&lt;=0,"",ROUND(J206/(H206/45),0))</f>
        <v>5</v>
      </c>
    </row>
    <row r="207" customFormat="false" ht="15" hidden="false" customHeight="false" outlineLevel="0" collapsed="false">
      <c r="A207" s="4" t="s">
        <v>149</v>
      </c>
      <c r="B207" s="4" t="s">
        <v>150</v>
      </c>
      <c r="C207" s="4" t="s">
        <v>151</v>
      </c>
      <c r="D207" s="4" t="s">
        <v>78</v>
      </c>
      <c r="E207" s="4" t="s">
        <v>19</v>
      </c>
      <c r="F207" s="4" t="n">
        <v>1</v>
      </c>
      <c r="G207" s="4" t="n">
        <v>0</v>
      </c>
      <c r="H207" s="4" t="n">
        <v>8.3</v>
      </c>
      <c r="I207" s="4" t="n">
        <v>2</v>
      </c>
      <c r="J207" s="4" t="n">
        <f aca="false">G207+I207</f>
        <v>2</v>
      </c>
      <c r="K207" s="4" t="n">
        <f aca="false">IF(H207&lt;=0,"",ROUND(J207/(H207/45),0))</f>
        <v>11</v>
      </c>
    </row>
    <row r="208" customFormat="false" ht="15" hidden="false" customHeight="false" outlineLevel="0" collapsed="false">
      <c r="A208" s="4" t="s">
        <v>149</v>
      </c>
      <c r="B208" s="4" t="s">
        <v>150</v>
      </c>
      <c r="C208" s="4" t="s">
        <v>151</v>
      </c>
      <c r="D208" s="4" t="s">
        <v>18</v>
      </c>
      <c r="E208" s="4" t="s">
        <v>19</v>
      </c>
      <c r="F208" s="4" t="n">
        <v>3</v>
      </c>
      <c r="G208" s="4" t="n">
        <v>0</v>
      </c>
      <c r="H208" s="4" t="n">
        <v>25.8</v>
      </c>
      <c r="I208" s="4" t="n">
        <v>2</v>
      </c>
      <c r="J208" s="4" t="n">
        <f aca="false">G208+I208</f>
        <v>2</v>
      </c>
      <c r="K208" s="4" t="n">
        <f aca="false">IF(H208&lt;=0,"",ROUND(J208/(H208/45),0))</f>
        <v>3</v>
      </c>
    </row>
    <row r="209" customFormat="false" ht="15" hidden="false" customHeight="false" outlineLevel="0" collapsed="false">
      <c r="A209" s="4" t="s">
        <v>149</v>
      </c>
      <c r="B209" s="4" t="s">
        <v>150</v>
      </c>
      <c r="C209" s="4" t="s">
        <v>151</v>
      </c>
      <c r="D209" s="4" t="s">
        <v>70</v>
      </c>
      <c r="E209" s="4" t="s">
        <v>19</v>
      </c>
      <c r="F209" s="4" t="n">
        <v>5</v>
      </c>
      <c r="G209" s="4" t="n">
        <v>1</v>
      </c>
      <c r="H209" s="4" t="n">
        <v>17.2</v>
      </c>
      <c r="I209" s="4" t="n">
        <v>2</v>
      </c>
      <c r="J209" s="4" t="n">
        <f aca="false">G209+I209</f>
        <v>3</v>
      </c>
      <c r="K209" s="4" t="n">
        <f aca="false">IF(H209&lt;=0,"",ROUND(J209/(H209/45),0))</f>
        <v>8</v>
      </c>
    </row>
    <row r="210" customFormat="false" ht="15" hidden="false" customHeight="false" outlineLevel="0" collapsed="false">
      <c r="A210" s="4" t="s">
        <v>149</v>
      </c>
      <c r="B210" s="4" t="s">
        <v>150</v>
      </c>
      <c r="C210" s="4" t="s">
        <v>151</v>
      </c>
      <c r="D210" s="4" t="s">
        <v>40</v>
      </c>
      <c r="E210" s="4" t="s">
        <v>19</v>
      </c>
      <c r="F210" s="4" t="n">
        <v>3</v>
      </c>
      <c r="G210" s="4" t="n">
        <v>0</v>
      </c>
      <c r="H210" s="4" t="n">
        <v>16.9</v>
      </c>
      <c r="I210" s="4" t="n">
        <v>2</v>
      </c>
      <c r="J210" s="4" t="n">
        <f aca="false">G210+I210</f>
        <v>2</v>
      </c>
      <c r="K210" s="4" t="n">
        <f aca="false">IF(H210&lt;=0,"",ROUND(J210/(H210/45),0))</f>
        <v>5</v>
      </c>
    </row>
    <row r="211" customFormat="false" ht="15" hidden="false" customHeight="false" outlineLevel="0" collapsed="false">
      <c r="A211" s="3" t="s">
        <v>152</v>
      </c>
      <c r="B211" s="3" t="s">
        <v>153</v>
      </c>
      <c r="C211" s="3" t="s">
        <v>154</v>
      </c>
      <c r="D211" s="3" t="s">
        <v>15</v>
      </c>
      <c r="E211" s="3" t="s">
        <v>16</v>
      </c>
      <c r="F211" s="3" t="s">
        <v>17</v>
      </c>
      <c r="G211" s="3" t="s">
        <v>17</v>
      </c>
      <c r="H211" s="3" t="s">
        <v>17</v>
      </c>
      <c r="I211" s="3" t="n">
        <v>5</v>
      </c>
      <c r="J211" s="3" t="s">
        <v>17</v>
      </c>
      <c r="K211" s="3" t="s">
        <v>17</v>
      </c>
    </row>
    <row r="212" customFormat="false" ht="15" hidden="false" customHeight="false" outlineLevel="0" collapsed="false">
      <c r="A212" s="3" t="s">
        <v>152</v>
      </c>
      <c r="B212" s="3" t="s">
        <v>153</v>
      </c>
      <c r="C212" s="3" t="s">
        <v>154</v>
      </c>
      <c r="D212" s="3" t="s">
        <v>33</v>
      </c>
      <c r="E212" s="3" t="s">
        <v>16</v>
      </c>
      <c r="F212" s="3" t="s">
        <v>17</v>
      </c>
      <c r="G212" s="3" t="s">
        <v>17</v>
      </c>
      <c r="H212" s="3" t="s">
        <v>17</v>
      </c>
      <c r="I212" s="3" t="n">
        <v>2</v>
      </c>
      <c r="J212" s="3" t="s">
        <v>17</v>
      </c>
      <c r="K212" s="3" t="s">
        <v>17</v>
      </c>
    </row>
    <row r="213" customFormat="false" ht="15" hidden="false" customHeight="false" outlineLevel="0" collapsed="false">
      <c r="A213" s="4" t="s">
        <v>152</v>
      </c>
      <c r="B213" s="4" t="s">
        <v>153</v>
      </c>
      <c r="C213" s="4" t="s">
        <v>154</v>
      </c>
      <c r="D213" s="4" t="s">
        <v>18</v>
      </c>
      <c r="E213" s="4" t="s">
        <v>19</v>
      </c>
      <c r="F213" s="4" t="n">
        <v>0</v>
      </c>
      <c r="G213" s="4" t="n">
        <v>0</v>
      </c>
      <c r="H213" s="4" t="n">
        <v>9</v>
      </c>
      <c r="I213" s="4" t="n">
        <v>2</v>
      </c>
      <c r="J213" s="4" t="n">
        <f aca="false">G213+I213</f>
        <v>2</v>
      </c>
      <c r="K213" s="4" t="n">
        <f aca="false">IF(H213&lt;=0,"",ROUND(J213/(H213/45),0))</f>
        <v>10</v>
      </c>
    </row>
    <row r="214" customFormat="false" ht="15" hidden="false" customHeight="false" outlineLevel="0" collapsed="false">
      <c r="A214" s="4" t="s">
        <v>155</v>
      </c>
      <c r="B214" s="4" t="s">
        <v>156</v>
      </c>
      <c r="C214" s="4" t="s">
        <v>157</v>
      </c>
      <c r="D214" s="4" t="s">
        <v>30</v>
      </c>
      <c r="E214" s="4" t="s">
        <v>19</v>
      </c>
      <c r="F214" s="4" t="n">
        <v>6</v>
      </c>
      <c r="G214" s="4" t="n">
        <v>1</v>
      </c>
      <c r="H214" s="4" t="n">
        <v>18</v>
      </c>
      <c r="I214" s="4" t="n">
        <v>12</v>
      </c>
      <c r="J214" s="4" t="n">
        <f aca="false">G214+I214</f>
        <v>13</v>
      </c>
      <c r="K214" s="4" t="n">
        <f aca="false">IF(H214&lt;=0,"",ROUND(J214/(H214/45),0))</f>
        <v>33</v>
      </c>
    </row>
    <row r="215" customFormat="false" ht="15" hidden="false" customHeight="false" outlineLevel="0" collapsed="false">
      <c r="A215" s="3" t="s">
        <v>155</v>
      </c>
      <c r="B215" s="3" t="s">
        <v>156</v>
      </c>
      <c r="C215" s="3" t="s">
        <v>157</v>
      </c>
      <c r="D215" s="3" t="s">
        <v>15</v>
      </c>
      <c r="E215" s="3" t="s">
        <v>16</v>
      </c>
      <c r="F215" s="3" t="s">
        <v>17</v>
      </c>
      <c r="G215" s="3" t="s">
        <v>17</v>
      </c>
      <c r="H215" s="3" t="s">
        <v>17</v>
      </c>
      <c r="I215" s="3" t="n">
        <v>4</v>
      </c>
      <c r="J215" s="3" t="s">
        <v>17</v>
      </c>
      <c r="K215" s="3" t="s">
        <v>17</v>
      </c>
    </row>
    <row r="216" customFormat="false" ht="15" hidden="false" customHeight="false" outlineLevel="0" collapsed="false">
      <c r="A216" s="4" t="s">
        <v>155</v>
      </c>
      <c r="B216" s="4" t="s">
        <v>156</v>
      </c>
      <c r="C216" s="4" t="s">
        <v>157</v>
      </c>
      <c r="D216" s="4" t="s">
        <v>32</v>
      </c>
      <c r="E216" s="4" t="s">
        <v>19</v>
      </c>
      <c r="F216" s="4" t="n">
        <v>2</v>
      </c>
      <c r="G216" s="4" t="n">
        <v>0</v>
      </c>
      <c r="H216" s="4" t="n">
        <v>6</v>
      </c>
      <c r="I216" s="4" t="n">
        <v>4</v>
      </c>
      <c r="J216" s="4" t="n">
        <f aca="false">G216+I216</f>
        <v>4</v>
      </c>
      <c r="K216" s="4" t="n">
        <f aca="false">IF(H216&lt;=0,"",ROUND(J216/(H216/45),0))</f>
        <v>30</v>
      </c>
    </row>
    <row r="217" customFormat="false" ht="15" hidden="false" customHeight="false" outlineLevel="0" collapsed="false">
      <c r="A217" s="3" t="s">
        <v>155</v>
      </c>
      <c r="B217" s="3" t="s">
        <v>156</v>
      </c>
      <c r="C217" s="3" t="s">
        <v>157</v>
      </c>
      <c r="D217" s="3" t="s">
        <v>33</v>
      </c>
      <c r="E217" s="3" t="s">
        <v>16</v>
      </c>
      <c r="F217" s="3" t="s">
        <v>17</v>
      </c>
      <c r="G217" s="3" t="s">
        <v>17</v>
      </c>
      <c r="H217" s="3" t="s">
        <v>17</v>
      </c>
      <c r="I217" s="3" t="n">
        <v>2</v>
      </c>
      <c r="J217" s="3" t="s">
        <v>17</v>
      </c>
      <c r="K217" s="3" t="s">
        <v>17</v>
      </c>
    </row>
    <row r="218" customFormat="false" ht="15" hidden="false" customHeight="false" outlineLevel="0" collapsed="false">
      <c r="A218" s="4" t="s">
        <v>155</v>
      </c>
      <c r="B218" s="4" t="s">
        <v>156</v>
      </c>
      <c r="C218" s="4" t="s">
        <v>157</v>
      </c>
      <c r="D218" s="4" t="s">
        <v>18</v>
      </c>
      <c r="E218" s="4" t="s">
        <v>19</v>
      </c>
      <c r="F218" s="4" t="n">
        <v>0</v>
      </c>
      <c r="G218" s="4" t="n">
        <v>1</v>
      </c>
      <c r="H218" s="4" t="n">
        <v>12</v>
      </c>
      <c r="I218" s="4" t="n">
        <v>2</v>
      </c>
      <c r="J218" s="4" t="n">
        <f aca="false">G218+I218</f>
        <v>3</v>
      </c>
      <c r="K218" s="4" t="n">
        <f aca="false">IF(H218&lt;=0,"",ROUND(J218/(H218/45),0))</f>
        <v>11</v>
      </c>
    </row>
    <row r="219" customFormat="false" ht="15" hidden="false" customHeight="false" outlineLevel="0" collapsed="false">
      <c r="A219" s="4" t="s">
        <v>155</v>
      </c>
      <c r="B219" s="4" t="s">
        <v>156</v>
      </c>
      <c r="C219" s="4" t="s">
        <v>157</v>
      </c>
      <c r="D219" s="4" t="s">
        <v>40</v>
      </c>
      <c r="E219" s="4" t="s">
        <v>19</v>
      </c>
      <c r="F219" s="4" t="n">
        <v>2</v>
      </c>
      <c r="G219" s="4" t="n">
        <v>0</v>
      </c>
      <c r="H219" s="4" t="n">
        <v>6</v>
      </c>
      <c r="I219" s="4" t="n">
        <v>4</v>
      </c>
      <c r="J219" s="4" t="n">
        <f aca="false">G219+I219</f>
        <v>4</v>
      </c>
      <c r="K219" s="4" t="n">
        <f aca="false">IF(H219&lt;=0,"",ROUND(J219/(H219/45),0))</f>
        <v>30</v>
      </c>
    </row>
    <row r="220" customFormat="false" ht="15" hidden="false" customHeight="false" outlineLevel="0" collapsed="false">
      <c r="A220" s="4" t="s">
        <v>158</v>
      </c>
      <c r="B220" s="4" t="s">
        <v>159</v>
      </c>
      <c r="C220" s="4" t="s">
        <v>160</v>
      </c>
      <c r="D220" s="4" t="s">
        <v>74</v>
      </c>
      <c r="E220" s="4" t="s">
        <v>19</v>
      </c>
      <c r="F220" s="4" t="n">
        <v>6</v>
      </c>
      <c r="G220" s="4" t="n">
        <v>0</v>
      </c>
      <c r="H220" s="4" t="n">
        <v>18</v>
      </c>
      <c r="I220" s="4" t="n">
        <v>7</v>
      </c>
      <c r="J220" s="4" t="n">
        <f aca="false">G220+I220</f>
        <v>7</v>
      </c>
      <c r="K220" s="4" t="n">
        <f aca="false">IF(H220&lt;=0,"",ROUND(J220/(H220/45),0))</f>
        <v>18</v>
      </c>
    </row>
    <row r="221" customFormat="false" ht="15" hidden="false" customHeight="false" outlineLevel="0" collapsed="false">
      <c r="A221" s="4" t="s">
        <v>158</v>
      </c>
      <c r="B221" s="4" t="s">
        <v>159</v>
      </c>
      <c r="C221" s="4" t="s">
        <v>160</v>
      </c>
      <c r="D221" s="4" t="s">
        <v>30</v>
      </c>
      <c r="E221" s="4" t="s">
        <v>19</v>
      </c>
      <c r="F221" s="4" t="n">
        <v>5</v>
      </c>
      <c r="G221" s="4" t="n">
        <v>0</v>
      </c>
      <c r="H221" s="4" t="n">
        <v>15</v>
      </c>
      <c r="I221" s="4" t="n">
        <v>6</v>
      </c>
      <c r="J221" s="4" t="n">
        <f aca="false">G221+I221</f>
        <v>6</v>
      </c>
      <c r="K221" s="4" t="n">
        <f aca="false">IF(H221&lt;=0,"",ROUND(J221/(H221/45),0))</f>
        <v>18</v>
      </c>
    </row>
    <row r="222" customFormat="false" ht="15" hidden="false" customHeight="false" outlineLevel="0" collapsed="false">
      <c r="A222" s="4" t="s">
        <v>158</v>
      </c>
      <c r="B222" s="4" t="s">
        <v>159</v>
      </c>
      <c r="C222" s="4" t="s">
        <v>160</v>
      </c>
      <c r="D222" s="4" t="s">
        <v>32</v>
      </c>
      <c r="E222" s="4" t="s">
        <v>19</v>
      </c>
      <c r="F222" s="4" t="n">
        <v>3</v>
      </c>
      <c r="G222" s="4" t="n">
        <v>2</v>
      </c>
      <c r="H222" s="4" t="n">
        <v>9</v>
      </c>
      <c r="I222" s="4" t="n">
        <v>3</v>
      </c>
      <c r="J222" s="4" t="n">
        <f aca="false">G222+I222</f>
        <v>5</v>
      </c>
      <c r="K222" s="4" t="n">
        <f aca="false">IF(H222&lt;=0,"",ROUND(J222/(H222/45),0))</f>
        <v>25</v>
      </c>
    </row>
    <row r="223" customFormat="false" ht="15" hidden="false" customHeight="false" outlineLevel="0" collapsed="false">
      <c r="A223" s="4" t="s">
        <v>158</v>
      </c>
      <c r="B223" s="4" t="s">
        <v>159</v>
      </c>
      <c r="C223" s="4" t="s">
        <v>160</v>
      </c>
      <c r="D223" s="4" t="s">
        <v>18</v>
      </c>
      <c r="E223" s="4" t="s">
        <v>19</v>
      </c>
      <c r="F223" s="4" t="n">
        <v>1</v>
      </c>
      <c r="G223" s="4" t="n">
        <v>0</v>
      </c>
      <c r="H223" s="4" t="n">
        <v>6</v>
      </c>
      <c r="I223" s="4" t="n">
        <v>2</v>
      </c>
      <c r="J223" s="4" t="n">
        <f aca="false">G223+I223</f>
        <v>2</v>
      </c>
      <c r="K223" s="4" t="n">
        <f aca="false">IF(H223&lt;=0,"",ROUND(J223/(H223/45),0))</f>
        <v>15</v>
      </c>
    </row>
    <row r="224" customFormat="false" ht="15" hidden="false" customHeight="false" outlineLevel="0" collapsed="false">
      <c r="A224" s="4" t="s">
        <v>158</v>
      </c>
      <c r="B224" s="4" t="s">
        <v>159</v>
      </c>
      <c r="C224" s="4" t="s">
        <v>160</v>
      </c>
      <c r="D224" s="4" t="s">
        <v>40</v>
      </c>
      <c r="E224" s="4" t="s">
        <v>19</v>
      </c>
      <c r="F224" s="4" t="n">
        <v>2</v>
      </c>
      <c r="G224" s="4" t="n">
        <v>0</v>
      </c>
      <c r="H224" s="4" t="n">
        <v>6</v>
      </c>
      <c r="I224" s="4" t="n">
        <v>2</v>
      </c>
      <c r="J224" s="4" t="n">
        <f aca="false">G224+I224</f>
        <v>2</v>
      </c>
      <c r="K224" s="4" t="n">
        <f aca="false">IF(H224&lt;=0,"",ROUND(J224/(H224/45),0))</f>
        <v>15</v>
      </c>
    </row>
    <row r="225" customFormat="false" ht="15" hidden="false" customHeight="false" outlineLevel="0" collapsed="false">
      <c r="A225" s="4" t="s">
        <v>161</v>
      </c>
      <c r="B225" s="4" t="s">
        <v>162</v>
      </c>
      <c r="C225" s="4" t="s">
        <v>163</v>
      </c>
      <c r="D225" s="4" t="s">
        <v>32</v>
      </c>
      <c r="E225" s="4" t="s">
        <v>19</v>
      </c>
      <c r="F225" s="4" t="n">
        <v>2</v>
      </c>
      <c r="G225" s="4" t="n">
        <v>3</v>
      </c>
      <c r="H225" s="4" t="n">
        <v>6</v>
      </c>
      <c r="I225" s="4" t="n">
        <v>3</v>
      </c>
      <c r="J225" s="4" t="n">
        <f aca="false">G225+I225</f>
        <v>6</v>
      </c>
      <c r="K225" s="4" t="n">
        <f aca="false">IF(H225&lt;=0,"",ROUND(J225/(H225/45),0))</f>
        <v>45</v>
      </c>
    </row>
    <row r="226" customFormat="false" ht="15" hidden="false" customHeight="false" outlineLevel="0" collapsed="false">
      <c r="A226" s="3" t="s">
        <v>164</v>
      </c>
      <c r="B226" s="3" t="s">
        <v>165</v>
      </c>
      <c r="C226" s="3" t="s">
        <v>166</v>
      </c>
      <c r="D226" s="3" t="s">
        <v>15</v>
      </c>
      <c r="E226" s="3" t="s">
        <v>16</v>
      </c>
      <c r="F226" s="3" t="s">
        <v>17</v>
      </c>
      <c r="G226" s="3" t="s">
        <v>17</v>
      </c>
      <c r="H226" s="3" t="s">
        <v>17</v>
      </c>
      <c r="I226" s="3" t="n">
        <v>4</v>
      </c>
      <c r="J226" s="3" t="s">
        <v>17</v>
      </c>
      <c r="K226" s="3" t="s">
        <v>17</v>
      </c>
    </row>
    <row r="227" customFormat="false" ht="15" hidden="false" customHeight="false" outlineLevel="0" collapsed="false">
      <c r="A227" s="4" t="s">
        <v>164</v>
      </c>
      <c r="B227" s="4" t="s">
        <v>165</v>
      </c>
      <c r="C227" s="4" t="s">
        <v>166</v>
      </c>
      <c r="D227" s="4" t="s">
        <v>18</v>
      </c>
      <c r="E227" s="4" t="s">
        <v>19</v>
      </c>
      <c r="F227" s="4" t="n">
        <v>0</v>
      </c>
      <c r="G227" s="4" t="n">
        <v>0</v>
      </c>
      <c r="H227" s="4" t="n">
        <v>6</v>
      </c>
      <c r="I227" s="4" t="n">
        <v>2</v>
      </c>
      <c r="J227" s="4" t="n">
        <f aca="false">G227+I227</f>
        <v>2</v>
      </c>
      <c r="K227" s="4" t="n">
        <f aca="false">IF(H227&lt;=0,"",ROUND(J227/(H227/45),0))</f>
        <v>15</v>
      </c>
    </row>
    <row r="228" customFormat="false" ht="15" hidden="false" customHeight="false" outlineLevel="0" collapsed="false">
      <c r="A228" s="4" t="s">
        <v>167</v>
      </c>
      <c r="B228" s="4" t="s">
        <v>168</v>
      </c>
      <c r="C228" s="4" t="s">
        <v>169</v>
      </c>
      <c r="D228" s="4" t="s">
        <v>77</v>
      </c>
      <c r="E228" s="4" t="s">
        <v>19</v>
      </c>
      <c r="F228" s="4" t="n">
        <v>3</v>
      </c>
      <c r="G228" s="4" t="n">
        <v>5</v>
      </c>
      <c r="H228" s="4" t="n">
        <v>9</v>
      </c>
      <c r="I228" s="4" t="n">
        <v>3</v>
      </c>
      <c r="J228" s="4" t="n">
        <f aca="false">G228+I228</f>
        <v>8</v>
      </c>
      <c r="K228" s="4" t="n">
        <f aca="false">IF(H228&lt;=0,"",ROUND(J228/(H228/45),0))</f>
        <v>40</v>
      </c>
    </row>
    <row r="229" customFormat="false" ht="15" hidden="false" customHeight="false" outlineLevel="0" collapsed="false">
      <c r="A229" s="4" t="s">
        <v>170</v>
      </c>
      <c r="B229" s="4" t="s">
        <v>171</v>
      </c>
      <c r="C229" s="4" t="s">
        <v>172</v>
      </c>
      <c r="D229" s="4" t="s">
        <v>82</v>
      </c>
      <c r="E229" s="4" t="s">
        <v>19</v>
      </c>
      <c r="F229" s="4" t="n">
        <v>6</v>
      </c>
      <c r="G229" s="4" t="n">
        <v>0</v>
      </c>
      <c r="H229" s="4" t="n">
        <v>18</v>
      </c>
      <c r="I229" s="4" t="n">
        <v>12</v>
      </c>
      <c r="J229" s="4" t="n">
        <f aca="false">G229+I229</f>
        <v>12</v>
      </c>
      <c r="K229" s="4" t="n">
        <f aca="false">IF(H229&lt;=0,"",ROUND(J229/(H229/45),0))</f>
        <v>30</v>
      </c>
    </row>
    <row r="230" customFormat="false" ht="15" hidden="false" customHeight="false" outlineLevel="0" collapsed="false">
      <c r="A230" s="4" t="s">
        <v>170</v>
      </c>
      <c r="B230" s="4" t="s">
        <v>171</v>
      </c>
      <c r="C230" s="4" t="s">
        <v>172</v>
      </c>
      <c r="D230" s="4" t="s">
        <v>30</v>
      </c>
      <c r="E230" s="4" t="s">
        <v>19</v>
      </c>
      <c r="F230" s="4" t="n">
        <v>4</v>
      </c>
      <c r="G230" s="4" t="n">
        <v>2</v>
      </c>
      <c r="H230" s="4" t="n">
        <v>12</v>
      </c>
      <c r="I230" s="4" t="n">
        <v>7</v>
      </c>
      <c r="J230" s="4" t="n">
        <f aca="false">G230+I230</f>
        <v>9</v>
      </c>
      <c r="K230" s="4" t="n">
        <f aca="false">IF(H230&lt;=0,"",ROUND(J230/(H230/45),0))</f>
        <v>34</v>
      </c>
    </row>
    <row r="231" customFormat="false" ht="15" hidden="false" customHeight="false" outlineLevel="0" collapsed="false">
      <c r="A231" s="4" t="s">
        <v>170</v>
      </c>
      <c r="B231" s="4" t="s">
        <v>171</v>
      </c>
      <c r="C231" s="4" t="s">
        <v>172</v>
      </c>
      <c r="D231" s="4" t="s">
        <v>31</v>
      </c>
      <c r="E231" s="4" t="s">
        <v>19</v>
      </c>
      <c r="F231" s="4" t="n">
        <v>4</v>
      </c>
      <c r="G231" s="4" t="n">
        <v>10</v>
      </c>
      <c r="H231" s="4" t="n">
        <v>12</v>
      </c>
      <c r="I231" s="4" t="n">
        <v>2</v>
      </c>
      <c r="J231" s="4" t="n">
        <f aca="false">G231+I231</f>
        <v>12</v>
      </c>
      <c r="K231" s="4" t="n">
        <f aca="false">IF(H231&lt;=0,"",ROUND(J231/(H231/45),0))</f>
        <v>45</v>
      </c>
    </row>
    <row r="232" customFormat="false" ht="15" hidden="false" customHeight="false" outlineLevel="0" collapsed="false">
      <c r="A232" s="4" t="s">
        <v>170</v>
      </c>
      <c r="B232" s="4" t="s">
        <v>171</v>
      </c>
      <c r="C232" s="4" t="s">
        <v>172</v>
      </c>
      <c r="D232" s="4" t="s">
        <v>75</v>
      </c>
      <c r="E232" s="4" t="s">
        <v>19</v>
      </c>
      <c r="F232" s="4" t="n">
        <v>9</v>
      </c>
      <c r="G232" s="4" t="n">
        <v>13</v>
      </c>
      <c r="H232" s="4" t="n">
        <v>27</v>
      </c>
      <c r="I232" s="4" t="n">
        <v>10</v>
      </c>
      <c r="J232" s="4" t="n">
        <f aca="false">G232+I232</f>
        <v>23</v>
      </c>
      <c r="K232" s="4" t="n">
        <f aca="false">IF(H232&lt;=0,"",ROUND(J232/(H232/45),0))</f>
        <v>38</v>
      </c>
    </row>
    <row r="233" customFormat="false" ht="15" hidden="false" customHeight="false" outlineLevel="0" collapsed="false">
      <c r="A233" s="4" t="s">
        <v>170</v>
      </c>
      <c r="B233" s="4" t="s">
        <v>171</v>
      </c>
      <c r="C233" s="4" t="s">
        <v>172</v>
      </c>
      <c r="D233" s="4" t="s">
        <v>76</v>
      </c>
      <c r="E233" s="4" t="s">
        <v>19</v>
      </c>
      <c r="F233" s="4" t="n">
        <v>4</v>
      </c>
      <c r="G233" s="4" t="n">
        <v>1</v>
      </c>
      <c r="H233" s="4" t="n">
        <v>12</v>
      </c>
      <c r="I233" s="4" t="n">
        <v>8</v>
      </c>
      <c r="J233" s="4" t="n">
        <f aca="false">G233+I233</f>
        <v>9</v>
      </c>
      <c r="K233" s="4" t="n">
        <f aca="false">IF(H233&lt;=0,"",ROUND(J233/(H233/45),0))</f>
        <v>34</v>
      </c>
    </row>
    <row r="234" customFormat="false" ht="15" hidden="false" customHeight="false" outlineLevel="0" collapsed="false">
      <c r="A234" s="3" t="s">
        <v>170</v>
      </c>
      <c r="B234" s="3" t="s">
        <v>171</v>
      </c>
      <c r="C234" s="3" t="s">
        <v>172</v>
      </c>
      <c r="D234" s="3" t="s">
        <v>15</v>
      </c>
      <c r="E234" s="3" t="s">
        <v>16</v>
      </c>
      <c r="F234" s="3" t="s">
        <v>17</v>
      </c>
      <c r="G234" s="3" t="s">
        <v>17</v>
      </c>
      <c r="H234" s="3" t="s">
        <v>17</v>
      </c>
      <c r="I234" s="3" t="n">
        <v>6</v>
      </c>
      <c r="J234" s="3" t="s">
        <v>17</v>
      </c>
      <c r="K234" s="3" t="s">
        <v>17</v>
      </c>
    </row>
    <row r="235" customFormat="false" ht="15" hidden="false" customHeight="false" outlineLevel="0" collapsed="false">
      <c r="A235" s="3" t="s">
        <v>170</v>
      </c>
      <c r="B235" s="3" t="s">
        <v>171</v>
      </c>
      <c r="C235" s="3" t="s">
        <v>172</v>
      </c>
      <c r="D235" s="3" t="s">
        <v>33</v>
      </c>
      <c r="E235" s="3" t="s">
        <v>16</v>
      </c>
      <c r="F235" s="3" t="s">
        <v>17</v>
      </c>
      <c r="G235" s="3" t="s">
        <v>17</v>
      </c>
      <c r="H235" s="3" t="s">
        <v>17</v>
      </c>
      <c r="I235" s="3" t="n">
        <v>2</v>
      </c>
      <c r="J235" s="3" t="s">
        <v>17</v>
      </c>
      <c r="K235" s="3" t="s">
        <v>17</v>
      </c>
    </row>
    <row r="236" customFormat="false" ht="15" hidden="false" customHeight="false" outlineLevel="0" collapsed="false">
      <c r="A236" s="4" t="s">
        <v>170</v>
      </c>
      <c r="B236" s="4" t="s">
        <v>171</v>
      </c>
      <c r="C236" s="4" t="s">
        <v>172</v>
      </c>
      <c r="D236" s="4" t="s">
        <v>77</v>
      </c>
      <c r="E236" s="4" t="s">
        <v>19</v>
      </c>
      <c r="F236" s="4" t="n">
        <v>10</v>
      </c>
      <c r="G236" s="4" t="n">
        <v>12</v>
      </c>
      <c r="H236" s="4" t="n">
        <v>30</v>
      </c>
      <c r="I236" s="4" t="n">
        <v>12</v>
      </c>
      <c r="J236" s="4" t="n">
        <f aca="false">G236+I236</f>
        <v>24</v>
      </c>
      <c r="K236" s="4" t="n">
        <f aca="false">IF(H236&lt;=0,"",ROUND(J236/(H236/45),0))</f>
        <v>36</v>
      </c>
    </row>
    <row r="237" customFormat="false" ht="15" hidden="false" customHeight="false" outlineLevel="0" collapsed="false">
      <c r="A237" s="4" t="s">
        <v>170</v>
      </c>
      <c r="B237" s="4" t="s">
        <v>171</v>
      </c>
      <c r="C237" s="4" t="s">
        <v>172</v>
      </c>
      <c r="D237" s="4" t="s">
        <v>18</v>
      </c>
      <c r="E237" s="4" t="s">
        <v>19</v>
      </c>
      <c r="F237" s="4" t="n">
        <v>0</v>
      </c>
      <c r="G237" s="4" t="n">
        <v>0</v>
      </c>
      <c r="H237" s="4" t="n">
        <v>9</v>
      </c>
      <c r="I237" s="4" t="n">
        <v>2</v>
      </c>
      <c r="J237" s="4" t="n">
        <f aca="false">G237+I237</f>
        <v>2</v>
      </c>
      <c r="K237" s="4" t="n">
        <f aca="false">IF(H237&lt;=0,"",ROUND(J237/(H237/45),0))</f>
        <v>10</v>
      </c>
    </row>
    <row r="238" customFormat="false" ht="15" hidden="false" customHeight="false" outlineLevel="0" collapsed="false">
      <c r="A238" s="4" t="s">
        <v>170</v>
      </c>
      <c r="B238" s="4" t="s">
        <v>171</v>
      </c>
      <c r="C238" s="4" t="s">
        <v>172</v>
      </c>
      <c r="D238" s="4" t="s">
        <v>70</v>
      </c>
      <c r="E238" s="4" t="s">
        <v>19</v>
      </c>
      <c r="F238" s="4" t="n">
        <v>7</v>
      </c>
      <c r="G238" s="4" t="n">
        <v>0</v>
      </c>
      <c r="H238" s="4" t="n">
        <v>21</v>
      </c>
      <c r="I238" s="4" t="n">
        <v>15</v>
      </c>
      <c r="J238" s="4" t="n">
        <f aca="false">G238+I238</f>
        <v>15</v>
      </c>
      <c r="K238" s="4" t="n">
        <f aca="false">IF(H238&lt;=0,"",ROUND(J238/(H238/45),0))</f>
        <v>32</v>
      </c>
    </row>
    <row r="239" customFormat="false" ht="15" hidden="false" customHeight="false" outlineLevel="0" collapsed="false">
      <c r="A239" s="4" t="s">
        <v>173</v>
      </c>
      <c r="B239" s="4" t="s">
        <v>174</v>
      </c>
      <c r="C239" s="4" t="s">
        <v>175</v>
      </c>
      <c r="D239" s="4" t="s">
        <v>82</v>
      </c>
      <c r="E239" s="4" t="s">
        <v>19</v>
      </c>
      <c r="F239" s="4" t="n">
        <v>17</v>
      </c>
      <c r="G239" s="4" t="n">
        <v>38</v>
      </c>
      <c r="H239" s="4" t="n">
        <v>60.6</v>
      </c>
      <c r="I239" s="4" t="n">
        <v>10</v>
      </c>
      <c r="J239" s="4" t="n">
        <f aca="false">G239+I239</f>
        <v>48</v>
      </c>
      <c r="K239" s="4" t="n">
        <f aca="false">IF(H239&lt;=0,"",ROUND(J239/(H239/45),0))</f>
        <v>36</v>
      </c>
    </row>
    <row r="240" customFormat="false" ht="15" hidden="false" customHeight="false" outlineLevel="0" collapsed="false">
      <c r="A240" s="4" t="s">
        <v>173</v>
      </c>
      <c r="B240" s="4" t="s">
        <v>174</v>
      </c>
      <c r="C240" s="4" t="s">
        <v>175</v>
      </c>
      <c r="D240" s="4" t="s">
        <v>74</v>
      </c>
      <c r="E240" s="4" t="s">
        <v>19</v>
      </c>
      <c r="F240" s="4" t="n">
        <v>2</v>
      </c>
      <c r="G240" s="4" t="n">
        <v>0</v>
      </c>
      <c r="H240" s="4" t="n">
        <v>10.4</v>
      </c>
      <c r="I240" s="4" t="n">
        <v>4</v>
      </c>
      <c r="J240" s="4" t="n">
        <f aca="false">G240+I240</f>
        <v>4</v>
      </c>
      <c r="K240" s="4" t="n">
        <f aca="false">IF(H240&lt;=0,"",ROUND(J240/(H240/45),0))</f>
        <v>17</v>
      </c>
    </row>
    <row r="241" customFormat="false" ht="15" hidden="false" customHeight="false" outlineLevel="0" collapsed="false">
      <c r="A241" s="4" t="s">
        <v>173</v>
      </c>
      <c r="B241" s="4" t="s">
        <v>174</v>
      </c>
      <c r="C241" s="4" t="s">
        <v>175</v>
      </c>
      <c r="D241" s="4" t="s">
        <v>30</v>
      </c>
      <c r="E241" s="4" t="s">
        <v>19</v>
      </c>
      <c r="F241" s="4" t="n">
        <v>6</v>
      </c>
      <c r="G241" s="4" t="n">
        <v>0</v>
      </c>
      <c r="H241" s="4" t="n">
        <v>24.4</v>
      </c>
      <c r="I241" s="4" t="n">
        <v>11</v>
      </c>
      <c r="J241" s="4" t="n">
        <f aca="false">G241+I241</f>
        <v>11</v>
      </c>
      <c r="K241" s="4" t="n">
        <f aca="false">IF(H241&lt;=0,"",ROUND(J241/(H241/45),0))</f>
        <v>20</v>
      </c>
    </row>
    <row r="242" customFormat="false" ht="15" hidden="false" customHeight="false" outlineLevel="0" collapsed="false">
      <c r="A242" s="4" t="s">
        <v>173</v>
      </c>
      <c r="B242" s="4" t="s">
        <v>174</v>
      </c>
      <c r="C242" s="4" t="s">
        <v>175</v>
      </c>
      <c r="D242" s="4" t="s">
        <v>31</v>
      </c>
      <c r="E242" s="4" t="s">
        <v>19</v>
      </c>
      <c r="F242" s="4" t="n">
        <v>7</v>
      </c>
      <c r="G242" s="4" t="n">
        <v>0</v>
      </c>
      <c r="H242" s="4" t="n">
        <v>28.6</v>
      </c>
      <c r="I242" s="4" t="n">
        <v>2</v>
      </c>
      <c r="J242" s="4" t="n">
        <f aca="false">G242+I242</f>
        <v>2</v>
      </c>
      <c r="K242" s="4" t="n">
        <f aca="false">IF(H242&lt;=0,"",ROUND(J242/(H242/45),0))</f>
        <v>3</v>
      </c>
    </row>
    <row r="243" customFormat="false" ht="15" hidden="false" customHeight="false" outlineLevel="0" collapsed="false">
      <c r="A243" s="3" t="s">
        <v>173</v>
      </c>
      <c r="B243" s="3" t="s">
        <v>174</v>
      </c>
      <c r="C243" s="3" t="s">
        <v>175</v>
      </c>
      <c r="D243" s="3" t="s">
        <v>15</v>
      </c>
      <c r="E243" s="3" t="s">
        <v>16</v>
      </c>
      <c r="F243" s="3" t="s">
        <v>17</v>
      </c>
      <c r="G243" s="3" t="s">
        <v>17</v>
      </c>
      <c r="H243" s="3" t="s">
        <v>17</v>
      </c>
      <c r="I243" s="3" t="n">
        <v>19</v>
      </c>
      <c r="J243" s="3" t="s">
        <v>17</v>
      </c>
      <c r="K243" s="3" t="s">
        <v>17</v>
      </c>
    </row>
    <row r="244" customFormat="false" ht="15" hidden="false" customHeight="false" outlineLevel="0" collapsed="false">
      <c r="A244" s="4" t="s">
        <v>173</v>
      </c>
      <c r="B244" s="4" t="s">
        <v>174</v>
      </c>
      <c r="C244" s="4" t="s">
        <v>175</v>
      </c>
      <c r="D244" s="4" t="s">
        <v>32</v>
      </c>
      <c r="E244" s="4" t="s">
        <v>19</v>
      </c>
      <c r="F244" s="4" t="n">
        <v>1</v>
      </c>
      <c r="G244" s="4" t="n">
        <v>0</v>
      </c>
      <c r="H244" s="4" t="n">
        <v>13</v>
      </c>
      <c r="I244" s="4" t="n">
        <v>6</v>
      </c>
      <c r="J244" s="4" t="n">
        <f aca="false">G244+I244</f>
        <v>6</v>
      </c>
      <c r="K244" s="4" t="n">
        <f aca="false">IF(H244&lt;=0,"",ROUND(J244/(H244/45),0))</f>
        <v>21</v>
      </c>
    </row>
    <row r="245" customFormat="false" ht="15" hidden="false" customHeight="false" outlineLevel="0" collapsed="false">
      <c r="A245" s="3" t="s">
        <v>173</v>
      </c>
      <c r="B245" s="3" t="s">
        <v>174</v>
      </c>
      <c r="C245" s="3" t="s">
        <v>175</v>
      </c>
      <c r="D245" s="3" t="s">
        <v>33</v>
      </c>
      <c r="E245" s="3" t="s">
        <v>16</v>
      </c>
      <c r="F245" s="3" t="s">
        <v>17</v>
      </c>
      <c r="G245" s="3" t="s">
        <v>17</v>
      </c>
      <c r="H245" s="3" t="s">
        <v>17</v>
      </c>
      <c r="I245" s="3" t="n">
        <v>8</v>
      </c>
      <c r="J245" s="3" t="s">
        <v>17</v>
      </c>
      <c r="K245" s="3" t="s">
        <v>17</v>
      </c>
    </row>
    <row r="246" customFormat="false" ht="15" hidden="false" customHeight="false" outlineLevel="0" collapsed="false">
      <c r="A246" s="4" t="s">
        <v>173</v>
      </c>
      <c r="B246" s="4" t="s">
        <v>174</v>
      </c>
      <c r="C246" s="4" t="s">
        <v>175</v>
      </c>
      <c r="D246" s="4" t="s">
        <v>66</v>
      </c>
      <c r="E246" s="4" t="s">
        <v>19</v>
      </c>
      <c r="F246" s="4" t="n">
        <v>1</v>
      </c>
      <c r="G246" s="4" t="n">
        <v>0</v>
      </c>
      <c r="H246" s="4" t="n">
        <v>11.2</v>
      </c>
      <c r="I246" s="4" t="n">
        <v>5</v>
      </c>
      <c r="J246" s="4" t="n">
        <f aca="false">G246+I246</f>
        <v>5</v>
      </c>
      <c r="K246" s="4" t="n">
        <f aca="false">IF(H246&lt;=0,"",ROUND(J246/(H246/45),0))</f>
        <v>20</v>
      </c>
    </row>
    <row r="247" customFormat="false" ht="15" hidden="false" customHeight="false" outlineLevel="0" collapsed="false">
      <c r="A247" s="4" t="s">
        <v>173</v>
      </c>
      <c r="B247" s="4" t="s">
        <v>174</v>
      </c>
      <c r="C247" s="4" t="s">
        <v>175</v>
      </c>
      <c r="D247" s="4" t="s">
        <v>34</v>
      </c>
      <c r="E247" s="4" t="s">
        <v>19</v>
      </c>
      <c r="F247" s="4" t="n">
        <v>0</v>
      </c>
      <c r="G247" s="4" t="n">
        <v>0</v>
      </c>
      <c r="H247" s="4" t="n">
        <v>8.7</v>
      </c>
      <c r="I247" s="4" t="n">
        <v>4</v>
      </c>
      <c r="J247" s="4" t="n">
        <f aca="false">G247+I247</f>
        <v>4</v>
      </c>
      <c r="K247" s="4" t="n">
        <f aca="false">IF(H247&lt;=0,"",ROUND(J247/(H247/45),0))</f>
        <v>21</v>
      </c>
    </row>
    <row r="248" customFormat="false" ht="15" hidden="false" customHeight="false" outlineLevel="0" collapsed="false">
      <c r="A248" s="4" t="s">
        <v>173</v>
      </c>
      <c r="B248" s="4" t="s">
        <v>174</v>
      </c>
      <c r="C248" s="4" t="s">
        <v>175</v>
      </c>
      <c r="D248" s="4" t="s">
        <v>53</v>
      </c>
      <c r="E248" s="4" t="s">
        <v>19</v>
      </c>
      <c r="F248" s="4" t="n">
        <v>6</v>
      </c>
      <c r="G248" s="4" t="n">
        <v>9</v>
      </c>
      <c r="H248" s="4" t="n">
        <v>23.4</v>
      </c>
      <c r="I248" s="4" t="n">
        <v>6</v>
      </c>
      <c r="J248" s="4" t="n">
        <f aca="false">G248+I248</f>
        <v>15</v>
      </c>
      <c r="K248" s="4" t="n">
        <f aca="false">IF(H248&lt;=0,"",ROUND(J248/(H248/45),0))</f>
        <v>29</v>
      </c>
    </row>
    <row r="249" customFormat="false" ht="15" hidden="false" customHeight="false" outlineLevel="0" collapsed="false">
      <c r="A249" s="4" t="s">
        <v>173</v>
      </c>
      <c r="B249" s="4" t="s">
        <v>174</v>
      </c>
      <c r="C249" s="4" t="s">
        <v>175</v>
      </c>
      <c r="D249" s="4" t="s">
        <v>18</v>
      </c>
      <c r="E249" s="4" t="s">
        <v>19</v>
      </c>
      <c r="F249" s="4" t="n">
        <v>0</v>
      </c>
      <c r="G249" s="4" t="n">
        <v>0</v>
      </c>
      <c r="H249" s="4" t="n">
        <v>14.1</v>
      </c>
      <c r="I249" s="4" t="n">
        <v>2</v>
      </c>
      <c r="J249" s="4" t="n">
        <f aca="false">G249+I249</f>
        <v>2</v>
      </c>
      <c r="K249" s="4" t="n">
        <f aca="false">IF(H249&lt;=0,"",ROUND(J249/(H249/45),0))</f>
        <v>6</v>
      </c>
    </row>
    <row r="250" customFormat="false" ht="15" hidden="false" customHeight="false" outlineLevel="0" collapsed="false">
      <c r="A250" s="4" t="s">
        <v>173</v>
      </c>
      <c r="B250" s="4" t="s">
        <v>174</v>
      </c>
      <c r="C250" s="4" t="s">
        <v>175</v>
      </c>
      <c r="D250" s="4" t="s">
        <v>39</v>
      </c>
      <c r="E250" s="4" t="s">
        <v>19</v>
      </c>
      <c r="F250" s="4" t="n">
        <v>0</v>
      </c>
      <c r="G250" s="4" t="n">
        <v>0</v>
      </c>
      <c r="H250" s="4" t="n">
        <v>10.8</v>
      </c>
      <c r="I250" s="4" t="n">
        <v>5</v>
      </c>
      <c r="J250" s="4" t="n">
        <f aca="false">G250+I250</f>
        <v>5</v>
      </c>
      <c r="K250" s="4" t="n">
        <f aca="false">IF(H250&lt;=0,"",ROUND(J250/(H250/45),0))</f>
        <v>21</v>
      </c>
    </row>
    <row r="251" customFormat="false" ht="15" hidden="false" customHeight="false" outlineLevel="0" collapsed="false">
      <c r="A251" s="4" t="s">
        <v>173</v>
      </c>
      <c r="B251" s="4" t="s">
        <v>174</v>
      </c>
      <c r="C251" s="4" t="s">
        <v>175</v>
      </c>
      <c r="D251" s="4" t="s">
        <v>70</v>
      </c>
      <c r="E251" s="4" t="s">
        <v>19</v>
      </c>
      <c r="F251" s="4" t="n">
        <v>12</v>
      </c>
      <c r="G251" s="4" t="n">
        <v>9</v>
      </c>
      <c r="H251" s="4" t="n">
        <v>38.5</v>
      </c>
      <c r="I251" s="4" t="n">
        <v>13</v>
      </c>
      <c r="J251" s="4" t="n">
        <f aca="false">G251+I251</f>
        <v>22</v>
      </c>
      <c r="K251" s="4" t="n">
        <f aca="false">IF(H251&lt;=0,"",ROUND(J251/(H251/45),0))</f>
        <v>26</v>
      </c>
    </row>
    <row r="252" customFormat="false" ht="15" hidden="false" customHeight="false" outlineLevel="0" collapsed="false">
      <c r="A252" s="4" t="s">
        <v>173</v>
      </c>
      <c r="B252" s="4" t="s">
        <v>174</v>
      </c>
      <c r="C252" s="4" t="s">
        <v>175</v>
      </c>
      <c r="D252" s="4" t="s">
        <v>40</v>
      </c>
      <c r="E252" s="4" t="s">
        <v>19</v>
      </c>
      <c r="F252" s="4" t="n">
        <v>0</v>
      </c>
      <c r="G252" s="4" t="n">
        <v>0</v>
      </c>
      <c r="H252" s="4" t="n">
        <v>8.9</v>
      </c>
      <c r="I252" s="4" t="n">
        <v>4</v>
      </c>
      <c r="J252" s="4" t="n">
        <f aca="false">G252+I252</f>
        <v>4</v>
      </c>
      <c r="K252" s="4" t="n">
        <f aca="false">IF(H252&lt;=0,"",ROUND(J252/(H252/45),0))</f>
        <v>20</v>
      </c>
    </row>
    <row r="253" customFormat="false" ht="15" hidden="false" customHeight="false" outlineLevel="0" collapsed="false">
      <c r="A253" s="4" t="s">
        <v>176</v>
      </c>
      <c r="B253" s="4" t="s">
        <v>177</v>
      </c>
      <c r="C253" s="4" t="s">
        <v>178</v>
      </c>
      <c r="D253" s="4" t="s">
        <v>76</v>
      </c>
      <c r="E253" s="4" t="s">
        <v>19</v>
      </c>
      <c r="F253" s="4" t="n">
        <v>2</v>
      </c>
      <c r="G253" s="4" t="n">
        <v>3</v>
      </c>
      <c r="H253" s="4" t="n">
        <v>6</v>
      </c>
      <c r="I253" s="4" t="n">
        <v>2</v>
      </c>
      <c r="J253" s="4" t="n">
        <f aca="false">G253+I253</f>
        <v>5</v>
      </c>
      <c r="K253" s="4" t="n">
        <f aca="false">IF(H253&lt;=0,"",ROUND(J253/(H253/45),0))</f>
        <v>38</v>
      </c>
    </row>
    <row r="254" customFormat="false" ht="15" hidden="false" customHeight="false" outlineLevel="0" collapsed="false">
      <c r="A254" s="4" t="s">
        <v>179</v>
      </c>
      <c r="B254" s="4" t="s">
        <v>180</v>
      </c>
      <c r="C254" s="4" t="s">
        <v>181</v>
      </c>
      <c r="D254" s="4" t="s">
        <v>82</v>
      </c>
      <c r="E254" s="4" t="s">
        <v>19</v>
      </c>
      <c r="F254" s="4" t="n">
        <v>23</v>
      </c>
      <c r="G254" s="4" t="n">
        <v>56</v>
      </c>
      <c r="H254" s="4" t="n">
        <v>73.4</v>
      </c>
      <c r="I254" s="4" t="n">
        <v>3</v>
      </c>
      <c r="J254" s="4" t="n">
        <f aca="false">G254+I254</f>
        <v>59</v>
      </c>
      <c r="K254" s="4" t="n">
        <f aca="false">IF(H254&lt;=0,"",ROUND(J254/(H254/45),0))</f>
        <v>36</v>
      </c>
    </row>
    <row r="255" customFormat="false" ht="15" hidden="false" customHeight="false" outlineLevel="0" collapsed="false">
      <c r="A255" s="4" t="s">
        <v>179</v>
      </c>
      <c r="B255" s="4" t="s">
        <v>180</v>
      </c>
      <c r="C255" s="4" t="s">
        <v>181</v>
      </c>
      <c r="D255" s="4" t="s">
        <v>29</v>
      </c>
      <c r="E255" s="4" t="s">
        <v>19</v>
      </c>
      <c r="F255" s="4" t="n">
        <v>0</v>
      </c>
      <c r="G255" s="4" t="n">
        <v>0</v>
      </c>
      <c r="H255" s="4" t="n">
        <v>7.4</v>
      </c>
      <c r="I255" s="4" t="n">
        <v>2</v>
      </c>
      <c r="J255" s="4" t="n">
        <f aca="false">G255+I255</f>
        <v>2</v>
      </c>
      <c r="K255" s="4" t="n">
        <f aca="false">IF(H255&lt;=0,"",ROUND(J255/(H255/45),0))</f>
        <v>12</v>
      </c>
    </row>
    <row r="256" customFormat="false" ht="15" hidden="false" customHeight="false" outlineLevel="0" collapsed="false">
      <c r="A256" s="4" t="s">
        <v>179</v>
      </c>
      <c r="B256" s="4" t="s">
        <v>180</v>
      </c>
      <c r="C256" s="4" t="s">
        <v>181</v>
      </c>
      <c r="D256" s="4" t="s">
        <v>74</v>
      </c>
      <c r="E256" s="4" t="s">
        <v>19</v>
      </c>
      <c r="F256" s="4" t="n">
        <v>18</v>
      </c>
      <c r="G256" s="4" t="n">
        <v>42</v>
      </c>
      <c r="H256" s="4" t="n">
        <v>63.5</v>
      </c>
      <c r="I256" s="4" t="n">
        <v>4</v>
      </c>
      <c r="J256" s="4" t="n">
        <f aca="false">G256+I256</f>
        <v>46</v>
      </c>
      <c r="K256" s="4" t="n">
        <f aca="false">IF(H256&lt;=0,"",ROUND(J256/(H256/45),0))</f>
        <v>33</v>
      </c>
    </row>
    <row r="257" customFormat="false" ht="15" hidden="false" customHeight="false" outlineLevel="0" collapsed="false">
      <c r="A257" s="4" t="s">
        <v>179</v>
      </c>
      <c r="B257" s="4" t="s">
        <v>180</v>
      </c>
      <c r="C257" s="4" t="s">
        <v>181</v>
      </c>
      <c r="D257" s="4" t="s">
        <v>30</v>
      </c>
      <c r="E257" s="4" t="s">
        <v>19</v>
      </c>
      <c r="F257" s="4" t="n">
        <v>63</v>
      </c>
      <c r="G257" s="4" t="n">
        <v>112</v>
      </c>
      <c r="H257" s="4" t="n">
        <v>204.4</v>
      </c>
      <c r="I257" s="4" t="n">
        <v>17</v>
      </c>
      <c r="J257" s="4" t="n">
        <f aca="false">G257+I257</f>
        <v>129</v>
      </c>
      <c r="K257" s="4" t="n">
        <f aca="false">IF(H257&lt;=0,"",ROUND(J257/(H257/45),0))</f>
        <v>28</v>
      </c>
    </row>
    <row r="258" customFormat="false" ht="15" hidden="false" customHeight="false" outlineLevel="0" collapsed="false">
      <c r="A258" s="4" t="s">
        <v>179</v>
      </c>
      <c r="B258" s="4" t="s">
        <v>180</v>
      </c>
      <c r="C258" s="4" t="s">
        <v>181</v>
      </c>
      <c r="D258" s="4" t="s">
        <v>182</v>
      </c>
      <c r="E258" s="4" t="s">
        <v>19</v>
      </c>
      <c r="F258" s="4" t="n">
        <v>23</v>
      </c>
      <c r="G258" s="4" t="n">
        <v>20</v>
      </c>
      <c r="H258" s="4" t="n">
        <v>70.8</v>
      </c>
      <c r="I258" s="4" t="n">
        <v>2</v>
      </c>
      <c r="J258" s="4" t="n">
        <f aca="false">G258+I258</f>
        <v>22</v>
      </c>
      <c r="K258" s="4" t="n">
        <f aca="false">IF(H258&lt;=0,"",ROUND(J258/(H258/45),0))</f>
        <v>14</v>
      </c>
    </row>
    <row r="259" customFormat="false" ht="15" hidden="false" customHeight="false" outlineLevel="0" collapsed="false">
      <c r="A259" s="4" t="s">
        <v>179</v>
      </c>
      <c r="B259" s="4" t="s">
        <v>180</v>
      </c>
      <c r="C259" s="4" t="s">
        <v>181</v>
      </c>
      <c r="D259" s="4" t="s">
        <v>31</v>
      </c>
      <c r="E259" s="4" t="s">
        <v>19</v>
      </c>
      <c r="F259" s="4" t="n">
        <v>12</v>
      </c>
      <c r="G259" s="4" t="n">
        <v>22</v>
      </c>
      <c r="H259" s="4" t="n">
        <v>38.8</v>
      </c>
      <c r="I259" s="4" t="n">
        <v>3</v>
      </c>
      <c r="J259" s="4" t="n">
        <f aca="false">G259+I259</f>
        <v>25</v>
      </c>
      <c r="K259" s="4" t="n">
        <f aca="false">IF(H259&lt;=0,"",ROUND(J259/(H259/45),0))</f>
        <v>29</v>
      </c>
    </row>
    <row r="260" customFormat="false" ht="15" hidden="false" customHeight="false" outlineLevel="0" collapsed="false">
      <c r="A260" s="4" t="s">
        <v>179</v>
      </c>
      <c r="B260" s="4" t="s">
        <v>180</v>
      </c>
      <c r="C260" s="4" t="s">
        <v>181</v>
      </c>
      <c r="D260" s="4" t="s">
        <v>75</v>
      </c>
      <c r="E260" s="4" t="s">
        <v>19</v>
      </c>
      <c r="F260" s="4" t="n">
        <v>17</v>
      </c>
      <c r="G260" s="4" t="n">
        <v>1</v>
      </c>
      <c r="H260" s="4" t="n">
        <v>51</v>
      </c>
      <c r="I260" s="4" t="n">
        <v>9</v>
      </c>
      <c r="J260" s="4" t="n">
        <f aca="false">G260+I260</f>
        <v>10</v>
      </c>
      <c r="K260" s="4" t="n">
        <f aca="false">IF(H260&lt;=0,"",ROUND(J260/(H260/45),0))</f>
        <v>9</v>
      </c>
    </row>
    <row r="261" customFormat="false" ht="15" hidden="false" customHeight="false" outlineLevel="0" collapsed="false">
      <c r="A261" s="4" t="s">
        <v>179</v>
      </c>
      <c r="B261" s="4" t="s">
        <v>180</v>
      </c>
      <c r="C261" s="4" t="s">
        <v>181</v>
      </c>
      <c r="D261" s="4" t="s">
        <v>76</v>
      </c>
      <c r="E261" s="4" t="s">
        <v>19</v>
      </c>
      <c r="F261" s="4" t="n">
        <v>21</v>
      </c>
      <c r="G261" s="4" t="n">
        <v>6</v>
      </c>
      <c r="H261" s="4" t="n">
        <v>63</v>
      </c>
      <c r="I261" s="4" t="n">
        <v>11</v>
      </c>
      <c r="J261" s="4" t="n">
        <f aca="false">G261+I261</f>
        <v>17</v>
      </c>
      <c r="K261" s="4" t="n">
        <f aca="false">IF(H261&lt;=0,"",ROUND(J261/(H261/45),0))</f>
        <v>12</v>
      </c>
    </row>
    <row r="262" customFormat="false" ht="15" hidden="false" customHeight="false" outlineLevel="0" collapsed="false">
      <c r="A262" s="3" t="s">
        <v>179</v>
      </c>
      <c r="B262" s="3" t="s">
        <v>180</v>
      </c>
      <c r="C262" s="3" t="s">
        <v>181</v>
      </c>
      <c r="D262" s="3" t="s">
        <v>15</v>
      </c>
      <c r="E262" s="3" t="s">
        <v>16</v>
      </c>
      <c r="F262" s="3" t="s">
        <v>17</v>
      </c>
      <c r="G262" s="3" t="s">
        <v>17</v>
      </c>
      <c r="H262" s="3" t="s">
        <v>17</v>
      </c>
      <c r="I262" s="3" t="n">
        <v>40</v>
      </c>
      <c r="J262" s="3" t="s">
        <v>17</v>
      </c>
      <c r="K262" s="3" t="s">
        <v>17</v>
      </c>
    </row>
    <row r="263" customFormat="false" ht="15" hidden="false" customHeight="false" outlineLevel="0" collapsed="false">
      <c r="A263" s="4" t="s">
        <v>179</v>
      </c>
      <c r="B263" s="4" t="s">
        <v>180</v>
      </c>
      <c r="C263" s="4" t="s">
        <v>181</v>
      </c>
      <c r="D263" s="4" t="s">
        <v>32</v>
      </c>
      <c r="E263" s="4" t="s">
        <v>19</v>
      </c>
      <c r="F263" s="4" t="n">
        <v>7</v>
      </c>
      <c r="G263" s="4" t="n">
        <v>0</v>
      </c>
      <c r="H263" s="4" t="n">
        <v>38.9</v>
      </c>
      <c r="I263" s="4" t="n">
        <v>7</v>
      </c>
      <c r="J263" s="4" t="n">
        <f aca="false">G263+I263</f>
        <v>7</v>
      </c>
      <c r="K263" s="4" t="n">
        <f aca="false">IF(H263&lt;=0,"",ROUND(J263/(H263/45),0))</f>
        <v>8</v>
      </c>
    </row>
    <row r="264" customFormat="false" ht="15" hidden="false" customHeight="false" outlineLevel="0" collapsed="false">
      <c r="A264" s="3" t="s">
        <v>179</v>
      </c>
      <c r="B264" s="3" t="s">
        <v>180</v>
      </c>
      <c r="C264" s="3" t="s">
        <v>181</v>
      </c>
      <c r="D264" s="3" t="s">
        <v>33</v>
      </c>
      <c r="E264" s="3" t="s">
        <v>16</v>
      </c>
      <c r="F264" s="3" t="s">
        <v>17</v>
      </c>
      <c r="G264" s="3" t="s">
        <v>17</v>
      </c>
      <c r="H264" s="3" t="s">
        <v>17</v>
      </c>
      <c r="I264" s="3" t="n">
        <v>18</v>
      </c>
      <c r="J264" s="3" t="s">
        <v>17</v>
      </c>
      <c r="K264" s="3" t="s">
        <v>17</v>
      </c>
    </row>
    <row r="265" customFormat="false" ht="15" hidden="false" customHeight="false" outlineLevel="0" collapsed="false">
      <c r="A265" s="4" t="s">
        <v>179</v>
      </c>
      <c r="B265" s="4" t="s">
        <v>180</v>
      </c>
      <c r="C265" s="4" t="s">
        <v>181</v>
      </c>
      <c r="D265" s="4" t="s">
        <v>77</v>
      </c>
      <c r="E265" s="4" t="s">
        <v>19</v>
      </c>
      <c r="F265" s="4" t="n">
        <v>10</v>
      </c>
      <c r="G265" s="4" t="n">
        <v>4</v>
      </c>
      <c r="H265" s="4" t="n">
        <v>41.5</v>
      </c>
      <c r="I265" s="4" t="n">
        <v>7</v>
      </c>
      <c r="J265" s="4" t="n">
        <f aca="false">G265+I265</f>
        <v>11</v>
      </c>
      <c r="K265" s="4" t="n">
        <f aca="false">IF(H265&lt;=0,"",ROUND(J265/(H265/45),0))</f>
        <v>12</v>
      </c>
    </row>
    <row r="266" customFormat="false" ht="15" hidden="false" customHeight="false" outlineLevel="0" collapsed="false">
      <c r="A266" s="4" t="s">
        <v>179</v>
      </c>
      <c r="B266" s="4" t="s">
        <v>180</v>
      </c>
      <c r="C266" s="4" t="s">
        <v>181</v>
      </c>
      <c r="D266" s="4" t="s">
        <v>66</v>
      </c>
      <c r="E266" s="4" t="s">
        <v>19</v>
      </c>
      <c r="F266" s="4" t="n">
        <v>20</v>
      </c>
      <c r="G266" s="4" t="n">
        <v>21</v>
      </c>
      <c r="H266" s="4" t="n">
        <v>75.4</v>
      </c>
      <c r="I266" s="4" t="n">
        <v>10</v>
      </c>
      <c r="J266" s="4" t="n">
        <f aca="false">G266+I266</f>
        <v>31</v>
      </c>
      <c r="K266" s="4" t="n">
        <f aca="false">IF(H266&lt;=0,"",ROUND(J266/(H266/45),0))</f>
        <v>19</v>
      </c>
    </row>
    <row r="267" customFormat="false" ht="15" hidden="false" customHeight="false" outlineLevel="0" collapsed="false">
      <c r="A267" s="4" t="s">
        <v>179</v>
      </c>
      <c r="B267" s="4" t="s">
        <v>180</v>
      </c>
      <c r="C267" s="4" t="s">
        <v>181</v>
      </c>
      <c r="D267" s="4" t="s">
        <v>34</v>
      </c>
      <c r="E267" s="4" t="s">
        <v>19</v>
      </c>
      <c r="F267" s="4" t="n">
        <v>0</v>
      </c>
      <c r="G267" s="4" t="n">
        <v>0</v>
      </c>
      <c r="H267" s="4" t="n">
        <v>16.1</v>
      </c>
      <c r="I267" s="4" t="n">
        <v>3</v>
      </c>
      <c r="J267" s="4" t="n">
        <f aca="false">G267+I267</f>
        <v>3</v>
      </c>
      <c r="K267" s="4" t="n">
        <f aca="false">IF(H267&lt;=0,"",ROUND(J267/(H267/45),0))</f>
        <v>8</v>
      </c>
    </row>
    <row r="268" customFormat="false" ht="15" hidden="false" customHeight="false" outlineLevel="0" collapsed="false">
      <c r="A268" s="4" t="s">
        <v>179</v>
      </c>
      <c r="B268" s="4" t="s">
        <v>180</v>
      </c>
      <c r="C268" s="4" t="s">
        <v>181</v>
      </c>
      <c r="D268" s="4" t="s">
        <v>53</v>
      </c>
      <c r="E268" s="4" t="s">
        <v>19</v>
      </c>
      <c r="F268" s="4" t="n">
        <v>13</v>
      </c>
      <c r="G268" s="4" t="n">
        <v>29</v>
      </c>
      <c r="H268" s="4" t="n">
        <v>39</v>
      </c>
      <c r="I268" s="4" t="n">
        <v>2</v>
      </c>
      <c r="J268" s="4" t="n">
        <f aca="false">G268+I268</f>
        <v>31</v>
      </c>
      <c r="K268" s="4" t="n">
        <f aca="false">IF(H268&lt;=0,"",ROUND(J268/(H268/45),0))</f>
        <v>36</v>
      </c>
    </row>
    <row r="269" customFormat="false" ht="15" hidden="false" customHeight="false" outlineLevel="0" collapsed="false">
      <c r="A269" s="4" t="s">
        <v>179</v>
      </c>
      <c r="B269" s="4" t="s">
        <v>180</v>
      </c>
      <c r="C269" s="4" t="s">
        <v>181</v>
      </c>
      <c r="D269" s="4" t="s">
        <v>35</v>
      </c>
      <c r="E269" s="4" t="s">
        <v>19</v>
      </c>
      <c r="F269" s="4" t="n">
        <v>12</v>
      </c>
      <c r="G269" s="4" t="n">
        <v>27</v>
      </c>
      <c r="H269" s="4" t="n">
        <v>36</v>
      </c>
      <c r="I269" s="4" t="n">
        <v>2</v>
      </c>
      <c r="J269" s="4" t="n">
        <f aca="false">G269+I269</f>
        <v>29</v>
      </c>
      <c r="K269" s="4" t="n">
        <f aca="false">IF(H269&lt;=0,"",ROUND(J269/(H269/45),0))</f>
        <v>36</v>
      </c>
    </row>
    <row r="270" customFormat="false" ht="15" hidden="false" customHeight="false" outlineLevel="0" collapsed="false">
      <c r="A270" s="4" t="s">
        <v>179</v>
      </c>
      <c r="B270" s="4" t="s">
        <v>180</v>
      </c>
      <c r="C270" s="4" t="s">
        <v>181</v>
      </c>
      <c r="D270" s="4" t="s">
        <v>78</v>
      </c>
      <c r="E270" s="4" t="s">
        <v>19</v>
      </c>
      <c r="F270" s="4" t="n">
        <v>0</v>
      </c>
      <c r="G270" s="4" t="n">
        <v>0</v>
      </c>
      <c r="H270" s="4" t="n">
        <v>8</v>
      </c>
      <c r="I270" s="4" t="n">
        <v>2</v>
      </c>
      <c r="J270" s="4" t="n">
        <f aca="false">G270+I270</f>
        <v>2</v>
      </c>
      <c r="K270" s="4" t="n">
        <f aca="false">IF(H270&lt;=0,"",ROUND(J270/(H270/45),0))</f>
        <v>11</v>
      </c>
    </row>
    <row r="271" customFormat="false" ht="15" hidden="false" customHeight="false" outlineLevel="0" collapsed="false">
      <c r="A271" s="4" t="s">
        <v>179</v>
      </c>
      <c r="B271" s="4" t="s">
        <v>180</v>
      </c>
      <c r="C271" s="4" t="s">
        <v>181</v>
      </c>
      <c r="D271" s="4" t="s">
        <v>18</v>
      </c>
      <c r="E271" s="4" t="s">
        <v>19</v>
      </c>
      <c r="F271" s="4" t="n">
        <v>24</v>
      </c>
      <c r="G271" s="4" t="n">
        <v>0</v>
      </c>
      <c r="H271" s="4" t="n">
        <v>97.5</v>
      </c>
      <c r="I271" s="4" t="n">
        <v>2</v>
      </c>
      <c r="J271" s="4" t="n">
        <f aca="false">G271+I271</f>
        <v>2</v>
      </c>
      <c r="K271" s="4" t="n">
        <f aca="false">IF(H271&lt;=0,"",ROUND(J271/(H271/45),0))</f>
        <v>1</v>
      </c>
    </row>
    <row r="272" customFormat="false" ht="15" hidden="false" customHeight="false" outlineLevel="0" collapsed="false">
      <c r="A272" s="4" t="s">
        <v>179</v>
      </c>
      <c r="B272" s="4" t="s">
        <v>180</v>
      </c>
      <c r="C272" s="4" t="s">
        <v>181</v>
      </c>
      <c r="D272" s="4" t="s">
        <v>39</v>
      </c>
      <c r="E272" s="4" t="s">
        <v>19</v>
      </c>
      <c r="F272" s="4" t="n">
        <v>35</v>
      </c>
      <c r="G272" s="4" t="n">
        <v>6</v>
      </c>
      <c r="H272" s="4" t="n">
        <v>119.5</v>
      </c>
      <c r="I272" s="4" t="n">
        <v>21</v>
      </c>
      <c r="J272" s="4" t="n">
        <f aca="false">G272+I272</f>
        <v>27</v>
      </c>
      <c r="K272" s="4" t="n">
        <f aca="false">IF(H272&lt;=0,"",ROUND(J272/(H272/45),0))</f>
        <v>10</v>
      </c>
    </row>
    <row r="273" customFormat="false" ht="15" hidden="false" customHeight="false" outlineLevel="0" collapsed="false">
      <c r="A273" s="4" t="s">
        <v>179</v>
      </c>
      <c r="B273" s="4" t="s">
        <v>180</v>
      </c>
      <c r="C273" s="4" t="s">
        <v>181</v>
      </c>
      <c r="D273" s="4" t="s">
        <v>40</v>
      </c>
      <c r="E273" s="4" t="s">
        <v>19</v>
      </c>
      <c r="F273" s="4" t="n">
        <v>40</v>
      </c>
      <c r="G273" s="4" t="n">
        <v>14</v>
      </c>
      <c r="H273" s="4" t="n">
        <v>133.3</v>
      </c>
      <c r="I273" s="4" t="n">
        <v>2</v>
      </c>
      <c r="J273" s="4" t="n">
        <f aca="false">G273+I273</f>
        <v>16</v>
      </c>
      <c r="K273" s="4" t="n">
        <f aca="false">IF(H273&lt;=0,"",ROUND(J273/(H273/45),0))</f>
        <v>5</v>
      </c>
    </row>
    <row r="274" customFormat="false" ht="15" hidden="false" customHeight="false" outlineLevel="0" collapsed="false">
      <c r="A274" s="4" t="s">
        <v>183</v>
      </c>
      <c r="B274" s="4" t="s">
        <v>184</v>
      </c>
      <c r="C274" s="4" t="s">
        <v>185</v>
      </c>
      <c r="D274" s="4" t="s">
        <v>75</v>
      </c>
      <c r="E274" s="4" t="s">
        <v>19</v>
      </c>
      <c r="F274" s="4" t="n">
        <v>2</v>
      </c>
      <c r="G274" s="4" t="n">
        <v>0</v>
      </c>
      <c r="H274" s="4" t="n">
        <v>6</v>
      </c>
      <c r="I274" s="4" t="n">
        <v>5</v>
      </c>
      <c r="J274" s="4" t="n">
        <f aca="false">G274+I274</f>
        <v>5</v>
      </c>
      <c r="K274" s="4" t="n">
        <f aca="false">IF(H274&lt;=0,"",ROUND(J274/(H274/45),0))</f>
        <v>38</v>
      </c>
    </row>
    <row r="275" customFormat="false" ht="15" hidden="false" customHeight="false" outlineLevel="0" collapsed="false">
      <c r="A275" s="3" t="s">
        <v>183</v>
      </c>
      <c r="B275" s="3" t="s">
        <v>184</v>
      </c>
      <c r="C275" s="3" t="s">
        <v>185</v>
      </c>
      <c r="D275" s="3" t="s">
        <v>15</v>
      </c>
      <c r="E275" s="3" t="s">
        <v>16</v>
      </c>
      <c r="F275" s="3" t="s">
        <v>17</v>
      </c>
      <c r="G275" s="3" t="s">
        <v>17</v>
      </c>
      <c r="H275" s="3" t="s">
        <v>17</v>
      </c>
      <c r="I275" s="3" t="n">
        <v>3</v>
      </c>
      <c r="J275" s="3" t="s">
        <v>17</v>
      </c>
      <c r="K275" s="3" t="s">
        <v>17</v>
      </c>
    </row>
    <row r="276" customFormat="false" ht="15" hidden="false" customHeight="false" outlineLevel="0" collapsed="false">
      <c r="A276" s="3" t="s">
        <v>183</v>
      </c>
      <c r="B276" s="3" t="s">
        <v>184</v>
      </c>
      <c r="C276" s="3" t="s">
        <v>185</v>
      </c>
      <c r="D276" s="3" t="s">
        <v>33</v>
      </c>
      <c r="E276" s="3" t="s">
        <v>16</v>
      </c>
      <c r="F276" s="3" t="s">
        <v>17</v>
      </c>
      <c r="G276" s="3" t="s">
        <v>17</v>
      </c>
      <c r="H276" s="3" t="s">
        <v>17</v>
      </c>
      <c r="I276" s="3" t="n">
        <v>2</v>
      </c>
      <c r="J276" s="3" t="s">
        <v>17</v>
      </c>
      <c r="K276" s="3" t="s">
        <v>17</v>
      </c>
    </row>
    <row r="277" customFormat="false" ht="15" hidden="false" customHeight="false" outlineLevel="0" collapsed="false">
      <c r="A277" s="4" t="s">
        <v>186</v>
      </c>
      <c r="B277" s="4" t="s">
        <v>187</v>
      </c>
      <c r="C277" s="4" t="s">
        <v>188</v>
      </c>
      <c r="D277" s="4" t="s">
        <v>74</v>
      </c>
      <c r="E277" s="4" t="s">
        <v>19</v>
      </c>
      <c r="F277" s="4" t="n">
        <v>0</v>
      </c>
      <c r="G277" s="4" t="n">
        <v>0</v>
      </c>
      <c r="H277" s="4" t="n">
        <v>6.1</v>
      </c>
      <c r="I277" s="4" t="n">
        <v>2</v>
      </c>
      <c r="J277" s="4" t="n">
        <f aca="false">G277+I277</f>
        <v>2</v>
      </c>
      <c r="K277" s="4" t="n">
        <f aca="false">IF(H277&lt;=0,"",ROUND(J277/(H277/45),0))</f>
        <v>15</v>
      </c>
    </row>
    <row r="278" customFormat="false" ht="15" hidden="false" customHeight="false" outlineLevel="0" collapsed="false">
      <c r="A278" s="4" t="s">
        <v>186</v>
      </c>
      <c r="B278" s="4" t="s">
        <v>187</v>
      </c>
      <c r="C278" s="4" t="s">
        <v>188</v>
      </c>
      <c r="D278" s="4" t="s">
        <v>30</v>
      </c>
      <c r="E278" s="4" t="s">
        <v>19</v>
      </c>
      <c r="F278" s="4" t="n">
        <v>0</v>
      </c>
      <c r="G278" s="4" t="n">
        <v>0</v>
      </c>
      <c r="H278" s="4" t="n">
        <v>9.3</v>
      </c>
      <c r="I278" s="4" t="n">
        <v>2</v>
      </c>
      <c r="J278" s="4" t="n">
        <f aca="false">G278+I278</f>
        <v>2</v>
      </c>
      <c r="K278" s="4" t="n">
        <f aca="false">IF(H278&lt;=0,"",ROUND(J278/(H278/45),0))</f>
        <v>10</v>
      </c>
    </row>
    <row r="279" customFormat="false" ht="15" hidden="false" customHeight="false" outlineLevel="0" collapsed="false">
      <c r="A279" s="4" t="s">
        <v>186</v>
      </c>
      <c r="B279" s="4" t="s">
        <v>187</v>
      </c>
      <c r="C279" s="4" t="s">
        <v>188</v>
      </c>
      <c r="D279" s="4" t="s">
        <v>31</v>
      </c>
      <c r="E279" s="4" t="s">
        <v>19</v>
      </c>
      <c r="F279" s="4" t="n">
        <v>0</v>
      </c>
      <c r="G279" s="4" t="n">
        <v>0</v>
      </c>
      <c r="H279" s="4" t="n">
        <v>7.9</v>
      </c>
      <c r="I279" s="4" t="n">
        <v>2</v>
      </c>
      <c r="J279" s="4" t="n">
        <f aca="false">G279+I279</f>
        <v>2</v>
      </c>
      <c r="K279" s="4" t="n">
        <f aca="false">IF(H279&lt;=0,"",ROUND(J279/(H279/45),0))</f>
        <v>11</v>
      </c>
    </row>
    <row r="280" customFormat="false" ht="15" hidden="false" customHeight="false" outlineLevel="0" collapsed="false">
      <c r="A280" s="3" t="s">
        <v>186</v>
      </c>
      <c r="B280" s="3" t="s">
        <v>187</v>
      </c>
      <c r="C280" s="3" t="s">
        <v>188</v>
      </c>
      <c r="D280" s="3" t="s">
        <v>15</v>
      </c>
      <c r="E280" s="3" t="s">
        <v>16</v>
      </c>
      <c r="F280" s="3" t="s">
        <v>17</v>
      </c>
      <c r="G280" s="3" t="s">
        <v>17</v>
      </c>
      <c r="H280" s="3" t="s">
        <v>17</v>
      </c>
      <c r="I280" s="3" t="n">
        <v>2</v>
      </c>
      <c r="J280" s="3" t="s">
        <v>17</v>
      </c>
      <c r="K280" s="3" t="s">
        <v>17</v>
      </c>
    </row>
    <row r="281" customFormat="false" ht="15" hidden="false" customHeight="false" outlineLevel="0" collapsed="false">
      <c r="A281" s="4" t="s">
        <v>186</v>
      </c>
      <c r="B281" s="4" t="s">
        <v>187</v>
      </c>
      <c r="C281" s="4" t="s">
        <v>188</v>
      </c>
      <c r="D281" s="4" t="s">
        <v>32</v>
      </c>
      <c r="E281" s="4" t="s">
        <v>19</v>
      </c>
      <c r="F281" s="4" t="n">
        <v>0</v>
      </c>
      <c r="G281" s="4" t="n">
        <v>0</v>
      </c>
      <c r="H281" s="4" t="n">
        <v>7.7</v>
      </c>
      <c r="I281" s="4" t="n">
        <v>2</v>
      </c>
      <c r="J281" s="4" t="n">
        <f aca="false">G281+I281</f>
        <v>2</v>
      </c>
      <c r="K281" s="4" t="n">
        <f aca="false">IF(H281&lt;=0,"",ROUND(J281/(H281/45),0))</f>
        <v>12</v>
      </c>
    </row>
    <row r="282" customFormat="false" ht="15" hidden="false" customHeight="false" outlineLevel="0" collapsed="false">
      <c r="A282" s="4" t="s">
        <v>186</v>
      </c>
      <c r="B282" s="4" t="s">
        <v>187</v>
      </c>
      <c r="C282" s="4" t="s">
        <v>188</v>
      </c>
      <c r="D282" s="4" t="s">
        <v>66</v>
      </c>
      <c r="E282" s="4" t="s">
        <v>19</v>
      </c>
      <c r="F282" s="4" t="n">
        <v>0</v>
      </c>
      <c r="G282" s="4" t="n">
        <v>0</v>
      </c>
      <c r="H282" s="4" t="n">
        <v>6.5</v>
      </c>
      <c r="I282" s="4" t="n">
        <v>2</v>
      </c>
      <c r="J282" s="4" t="n">
        <f aca="false">G282+I282</f>
        <v>2</v>
      </c>
      <c r="K282" s="4" t="n">
        <f aca="false">IF(H282&lt;=0,"",ROUND(J282/(H282/45),0))</f>
        <v>14</v>
      </c>
    </row>
    <row r="283" customFormat="false" ht="15" hidden="false" customHeight="false" outlineLevel="0" collapsed="false">
      <c r="A283" s="4" t="s">
        <v>186</v>
      </c>
      <c r="B283" s="4" t="s">
        <v>187</v>
      </c>
      <c r="C283" s="4" t="s">
        <v>188</v>
      </c>
      <c r="D283" s="4" t="s">
        <v>34</v>
      </c>
      <c r="E283" s="4" t="s">
        <v>19</v>
      </c>
      <c r="F283" s="4" t="n">
        <v>0</v>
      </c>
      <c r="G283" s="4" t="n">
        <v>0</v>
      </c>
      <c r="H283" s="4" t="n">
        <v>6.1</v>
      </c>
      <c r="I283" s="4" t="n">
        <v>2</v>
      </c>
      <c r="J283" s="4" t="n">
        <f aca="false">G283+I283</f>
        <v>2</v>
      </c>
      <c r="K283" s="4" t="n">
        <f aca="false">IF(H283&lt;=0,"",ROUND(J283/(H283/45),0))</f>
        <v>15</v>
      </c>
    </row>
    <row r="284" customFormat="false" ht="15" hidden="false" customHeight="false" outlineLevel="0" collapsed="false">
      <c r="A284" s="4" t="s">
        <v>186</v>
      </c>
      <c r="B284" s="4" t="s">
        <v>187</v>
      </c>
      <c r="C284" s="4" t="s">
        <v>188</v>
      </c>
      <c r="D284" s="4" t="s">
        <v>53</v>
      </c>
      <c r="E284" s="4" t="s">
        <v>19</v>
      </c>
      <c r="F284" s="4" t="n">
        <v>0</v>
      </c>
      <c r="G284" s="4" t="n">
        <v>0</v>
      </c>
      <c r="H284" s="4" t="n">
        <v>8.1</v>
      </c>
      <c r="I284" s="4" t="n">
        <v>2</v>
      </c>
      <c r="J284" s="4" t="n">
        <f aca="false">G284+I284</f>
        <v>2</v>
      </c>
      <c r="K284" s="4" t="n">
        <f aca="false">IF(H284&lt;=0,"",ROUND(J284/(H284/45),0))</f>
        <v>11</v>
      </c>
    </row>
    <row r="285" customFormat="false" ht="15" hidden="false" customHeight="false" outlineLevel="0" collapsed="false">
      <c r="A285" s="4" t="s">
        <v>186</v>
      </c>
      <c r="B285" s="4" t="s">
        <v>187</v>
      </c>
      <c r="C285" s="4" t="s">
        <v>188</v>
      </c>
      <c r="D285" s="4" t="s">
        <v>18</v>
      </c>
      <c r="E285" s="4" t="s">
        <v>19</v>
      </c>
      <c r="F285" s="4" t="n">
        <v>0</v>
      </c>
      <c r="G285" s="4" t="n">
        <v>0</v>
      </c>
      <c r="H285" s="4" t="n">
        <v>11.9</v>
      </c>
      <c r="I285" s="4" t="n">
        <v>2</v>
      </c>
      <c r="J285" s="4" t="n">
        <f aca="false">G285+I285</f>
        <v>2</v>
      </c>
      <c r="K285" s="4" t="n">
        <f aca="false">IF(H285&lt;=0,"",ROUND(J285/(H285/45),0))</f>
        <v>8</v>
      </c>
    </row>
    <row r="286" customFormat="false" ht="15" hidden="false" customHeight="false" outlineLevel="0" collapsed="false">
      <c r="A286" s="4" t="s">
        <v>186</v>
      </c>
      <c r="B286" s="4" t="s">
        <v>187</v>
      </c>
      <c r="C286" s="4" t="s">
        <v>188</v>
      </c>
      <c r="D286" s="4" t="s">
        <v>39</v>
      </c>
      <c r="E286" s="4" t="s">
        <v>19</v>
      </c>
      <c r="F286" s="4" t="n">
        <v>0</v>
      </c>
      <c r="G286" s="4" t="n">
        <v>0</v>
      </c>
      <c r="H286" s="4" t="n">
        <v>10.7</v>
      </c>
      <c r="I286" s="4" t="n">
        <v>2</v>
      </c>
      <c r="J286" s="4" t="n">
        <f aca="false">G286+I286</f>
        <v>2</v>
      </c>
      <c r="K286" s="4" t="n">
        <f aca="false">IF(H286&lt;=0,"",ROUND(J286/(H286/45),0))</f>
        <v>8</v>
      </c>
    </row>
    <row r="287" customFormat="false" ht="15" hidden="false" customHeight="false" outlineLevel="0" collapsed="false">
      <c r="A287" s="4" t="s">
        <v>186</v>
      </c>
      <c r="B287" s="4" t="s">
        <v>187</v>
      </c>
      <c r="C287" s="4" t="s">
        <v>188</v>
      </c>
      <c r="D287" s="4" t="s">
        <v>70</v>
      </c>
      <c r="E287" s="4" t="s">
        <v>19</v>
      </c>
      <c r="F287" s="4" t="n">
        <v>0</v>
      </c>
      <c r="G287" s="4" t="n">
        <v>0</v>
      </c>
      <c r="H287" s="4" t="n">
        <v>6.7</v>
      </c>
      <c r="I287" s="4" t="n">
        <v>2</v>
      </c>
      <c r="J287" s="4" t="n">
        <f aca="false">G287+I287</f>
        <v>2</v>
      </c>
      <c r="K287" s="4" t="n">
        <f aca="false">IF(H287&lt;=0,"",ROUND(J287/(H287/45),0))</f>
        <v>13</v>
      </c>
    </row>
    <row r="288" customFormat="false" ht="15" hidden="false" customHeight="false" outlineLevel="0" collapsed="false">
      <c r="A288" s="4" t="s">
        <v>186</v>
      </c>
      <c r="B288" s="4" t="s">
        <v>187</v>
      </c>
      <c r="C288" s="4" t="s">
        <v>188</v>
      </c>
      <c r="D288" s="4" t="s">
        <v>40</v>
      </c>
      <c r="E288" s="4" t="s">
        <v>19</v>
      </c>
      <c r="F288" s="4" t="n">
        <v>0</v>
      </c>
      <c r="G288" s="4" t="n">
        <v>0</v>
      </c>
      <c r="H288" s="4" t="n">
        <v>10.6</v>
      </c>
      <c r="I288" s="4" t="n">
        <v>2</v>
      </c>
      <c r="J288" s="4" t="n">
        <f aca="false">G288+I288</f>
        <v>2</v>
      </c>
      <c r="K288" s="4" t="n">
        <f aca="false">IF(H288&lt;=0,"",ROUND(J288/(H288/45),0))</f>
        <v>8</v>
      </c>
    </row>
    <row r="289" customFormat="false" ht="15" hidden="false" customHeight="false" outlineLevel="0" collapsed="false">
      <c r="A289" s="4" t="s">
        <v>189</v>
      </c>
      <c r="B289" s="4" t="s">
        <v>190</v>
      </c>
      <c r="C289" s="4" t="s">
        <v>191</v>
      </c>
      <c r="D289" s="4" t="s">
        <v>30</v>
      </c>
      <c r="E289" s="4" t="s">
        <v>19</v>
      </c>
      <c r="F289" s="4" t="n">
        <v>0</v>
      </c>
      <c r="G289" s="4" t="n">
        <v>0</v>
      </c>
      <c r="H289" s="4" t="n">
        <v>7.4</v>
      </c>
      <c r="I289" s="4" t="n">
        <v>6</v>
      </c>
      <c r="J289" s="4" t="n">
        <f aca="false">G289+I289</f>
        <v>6</v>
      </c>
      <c r="K289" s="4" t="n">
        <f aca="false">IF(H289&lt;=0,"",ROUND(J289/(H289/45),0))</f>
        <v>36</v>
      </c>
    </row>
    <row r="290" customFormat="false" ht="15" hidden="false" customHeight="false" outlineLevel="0" collapsed="false">
      <c r="A290" s="4" t="s">
        <v>189</v>
      </c>
      <c r="B290" s="4" t="s">
        <v>190</v>
      </c>
      <c r="C290" s="4" t="s">
        <v>191</v>
      </c>
      <c r="D290" s="4" t="s">
        <v>31</v>
      </c>
      <c r="E290" s="4" t="s">
        <v>19</v>
      </c>
      <c r="F290" s="4" t="n">
        <v>0</v>
      </c>
      <c r="G290" s="4" t="n">
        <v>0</v>
      </c>
      <c r="H290" s="4" t="n">
        <v>6.3</v>
      </c>
      <c r="I290" s="4" t="n">
        <v>2</v>
      </c>
      <c r="J290" s="4" t="n">
        <f aca="false">G290+I290</f>
        <v>2</v>
      </c>
      <c r="K290" s="4" t="n">
        <f aca="false">IF(H290&lt;=0,"",ROUND(J290/(H290/45),0))</f>
        <v>14</v>
      </c>
    </row>
    <row r="291" customFormat="false" ht="15" hidden="false" customHeight="false" outlineLevel="0" collapsed="false">
      <c r="A291" s="3" t="s">
        <v>189</v>
      </c>
      <c r="B291" s="3" t="s">
        <v>190</v>
      </c>
      <c r="C291" s="3" t="s">
        <v>191</v>
      </c>
      <c r="D291" s="3" t="s">
        <v>15</v>
      </c>
      <c r="E291" s="3" t="s">
        <v>16</v>
      </c>
      <c r="F291" s="3" t="s">
        <v>17</v>
      </c>
      <c r="G291" s="3" t="s">
        <v>17</v>
      </c>
      <c r="H291" s="3" t="s">
        <v>17</v>
      </c>
      <c r="I291" s="3" t="n">
        <v>10</v>
      </c>
      <c r="J291" s="3" t="s">
        <v>17</v>
      </c>
      <c r="K291" s="3" t="s">
        <v>17</v>
      </c>
    </row>
    <row r="292" customFormat="false" ht="15" hidden="false" customHeight="false" outlineLevel="0" collapsed="false">
      <c r="A292" s="4" t="s">
        <v>189</v>
      </c>
      <c r="B292" s="4" t="s">
        <v>190</v>
      </c>
      <c r="C292" s="4" t="s">
        <v>191</v>
      </c>
      <c r="D292" s="4" t="s">
        <v>32</v>
      </c>
      <c r="E292" s="4" t="s">
        <v>19</v>
      </c>
      <c r="F292" s="4" t="n">
        <v>0</v>
      </c>
      <c r="G292" s="4" t="n">
        <v>0</v>
      </c>
      <c r="H292" s="4" t="n">
        <v>6.2</v>
      </c>
      <c r="I292" s="4" t="n">
        <v>5</v>
      </c>
      <c r="J292" s="4" t="n">
        <f aca="false">G292+I292</f>
        <v>5</v>
      </c>
      <c r="K292" s="4" t="n">
        <f aca="false">IF(H292&lt;=0,"",ROUND(J292/(H292/45),0))</f>
        <v>36</v>
      </c>
    </row>
    <row r="293" customFormat="false" ht="15" hidden="false" customHeight="false" outlineLevel="0" collapsed="false">
      <c r="A293" s="3" t="s">
        <v>189</v>
      </c>
      <c r="B293" s="3" t="s">
        <v>190</v>
      </c>
      <c r="C293" s="3" t="s">
        <v>191</v>
      </c>
      <c r="D293" s="3" t="s">
        <v>33</v>
      </c>
      <c r="E293" s="3" t="s">
        <v>16</v>
      </c>
      <c r="F293" s="3" t="s">
        <v>17</v>
      </c>
      <c r="G293" s="3" t="s">
        <v>17</v>
      </c>
      <c r="H293" s="3" t="s">
        <v>17</v>
      </c>
      <c r="I293" s="3" t="n">
        <v>4</v>
      </c>
      <c r="J293" s="3" t="s">
        <v>17</v>
      </c>
      <c r="K293" s="3" t="s">
        <v>17</v>
      </c>
    </row>
    <row r="294" customFormat="false" ht="15" hidden="false" customHeight="false" outlineLevel="0" collapsed="false">
      <c r="A294" s="4" t="s">
        <v>189</v>
      </c>
      <c r="B294" s="4" t="s">
        <v>190</v>
      </c>
      <c r="C294" s="4" t="s">
        <v>191</v>
      </c>
      <c r="D294" s="4" t="s">
        <v>53</v>
      </c>
      <c r="E294" s="4" t="s">
        <v>19</v>
      </c>
      <c r="F294" s="4" t="n">
        <v>0</v>
      </c>
      <c r="G294" s="4" t="n">
        <v>0</v>
      </c>
      <c r="H294" s="4" t="n">
        <v>6.5</v>
      </c>
      <c r="I294" s="4" t="n">
        <v>5</v>
      </c>
      <c r="J294" s="4" t="n">
        <f aca="false">G294+I294</f>
        <v>5</v>
      </c>
      <c r="K294" s="4" t="n">
        <f aca="false">IF(H294&lt;=0,"",ROUND(J294/(H294/45),0))</f>
        <v>35</v>
      </c>
    </row>
    <row r="295" customFormat="false" ht="15" hidden="false" customHeight="false" outlineLevel="0" collapsed="false">
      <c r="A295" s="4" t="s">
        <v>189</v>
      </c>
      <c r="B295" s="4" t="s">
        <v>190</v>
      </c>
      <c r="C295" s="4" t="s">
        <v>191</v>
      </c>
      <c r="D295" s="4" t="s">
        <v>18</v>
      </c>
      <c r="E295" s="4" t="s">
        <v>19</v>
      </c>
      <c r="F295" s="4" t="n">
        <v>0</v>
      </c>
      <c r="G295" s="4" t="n">
        <v>0</v>
      </c>
      <c r="H295" s="4" t="n">
        <v>9.5</v>
      </c>
      <c r="I295" s="4" t="n">
        <v>2</v>
      </c>
      <c r="J295" s="4" t="n">
        <f aca="false">G295+I295</f>
        <v>2</v>
      </c>
      <c r="K295" s="4" t="n">
        <f aca="false">IF(H295&lt;=0,"",ROUND(J295/(H295/45),0))</f>
        <v>9</v>
      </c>
    </row>
    <row r="296" customFormat="false" ht="15" hidden="false" customHeight="false" outlineLevel="0" collapsed="false">
      <c r="A296" s="4" t="s">
        <v>189</v>
      </c>
      <c r="B296" s="4" t="s">
        <v>190</v>
      </c>
      <c r="C296" s="4" t="s">
        <v>191</v>
      </c>
      <c r="D296" s="4" t="s">
        <v>39</v>
      </c>
      <c r="E296" s="4" t="s">
        <v>19</v>
      </c>
      <c r="F296" s="4" t="n">
        <v>0</v>
      </c>
      <c r="G296" s="4" t="n">
        <v>0</v>
      </c>
      <c r="H296" s="4" t="n">
        <v>8.6</v>
      </c>
      <c r="I296" s="4" t="n">
        <v>7</v>
      </c>
      <c r="J296" s="4" t="n">
        <f aca="false">G296+I296</f>
        <v>7</v>
      </c>
      <c r="K296" s="4" t="n">
        <f aca="false">IF(H296&lt;=0,"",ROUND(J296/(H296/45),0))</f>
        <v>37</v>
      </c>
    </row>
    <row r="297" customFormat="false" ht="15" hidden="false" customHeight="false" outlineLevel="0" collapsed="false">
      <c r="A297" s="4" t="s">
        <v>189</v>
      </c>
      <c r="B297" s="4" t="s">
        <v>190</v>
      </c>
      <c r="C297" s="4" t="s">
        <v>191</v>
      </c>
      <c r="D297" s="4" t="s">
        <v>40</v>
      </c>
      <c r="E297" s="4" t="s">
        <v>19</v>
      </c>
      <c r="F297" s="4" t="n">
        <v>0</v>
      </c>
      <c r="G297" s="4" t="n">
        <v>0</v>
      </c>
      <c r="H297" s="4" t="n">
        <v>8.5</v>
      </c>
      <c r="I297" s="4" t="n">
        <v>7</v>
      </c>
      <c r="J297" s="4" t="n">
        <f aca="false">G297+I297</f>
        <v>7</v>
      </c>
      <c r="K297" s="4" t="n">
        <f aca="false">IF(H297&lt;=0,"",ROUND(J297/(H297/45),0))</f>
        <v>37</v>
      </c>
    </row>
    <row r="298" customFormat="false" ht="15" hidden="false" customHeight="false" outlineLevel="0" collapsed="false">
      <c r="A298" s="4" t="s">
        <v>192</v>
      </c>
      <c r="B298" s="4" t="s">
        <v>193</v>
      </c>
      <c r="C298" s="4" t="s">
        <v>194</v>
      </c>
      <c r="D298" s="4" t="s">
        <v>74</v>
      </c>
      <c r="E298" s="4" t="s">
        <v>19</v>
      </c>
      <c r="F298" s="4" t="n">
        <v>5</v>
      </c>
      <c r="G298" s="4" t="n">
        <v>0</v>
      </c>
      <c r="H298" s="4" t="n">
        <v>15</v>
      </c>
      <c r="I298" s="4" t="n">
        <v>2</v>
      </c>
      <c r="J298" s="4" t="n">
        <f aca="false">G298+I298</f>
        <v>2</v>
      </c>
      <c r="K298" s="4" t="n">
        <f aca="false">IF(H298&lt;=0,"",ROUND(J298/(H298/45),0))</f>
        <v>6</v>
      </c>
    </row>
    <row r="299" customFormat="false" ht="15" hidden="false" customHeight="false" outlineLevel="0" collapsed="false">
      <c r="A299" s="3" t="s">
        <v>192</v>
      </c>
      <c r="B299" s="3" t="s">
        <v>193</v>
      </c>
      <c r="C299" s="3" t="s">
        <v>194</v>
      </c>
      <c r="D299" s="3" t="s">
        <v>15</v>
      </c>
      <c r="E299" s="3" t="s">
        <v>16</v>
      </c>
      <c r="F299" s="3" t="s">
        <v>17</v>
      </c>
      <c r="G299" s="3" t="s">
        <v>17</v>
      </c>
      <c r="H299" s="3" t="s">
        <v>17</v>
      </c>
      <c r="I299" s="3" t="n">
        <v>8</v>
      </c>
      <c r="J299" s="3" t="s">
        <v>17</v>
      </c>
      <c r="K299" s="3" t="s">
        <v>17</v>
      </c>
    </row>
    <row r="300" customFormat="false" ht="15" hidden="false" customHeight="false" outlineLevel="0" collapsed="false">
      <c r="A300" s="3" t="s">
        <v>192</v>
      </c>
      <c r="B300" s="3" t="s">
        <v>193</v>
      </c>
      <c r="C300" s="3" t="s">
        <v>194</v>
      </c>
      <c r="D300" s="3" t="s">
        <v>33</v>
      </c>
      <c r="E300" s="3" t="s">
        <v>16</v>
      </c>
      <c r="F300" s="3" t="s">
        <v>17</v>
      </c>
      <c r="G300" s="3" t="s">
        <v>17</v>
      </c>
      <c r="H300" s="3" t="s">
        <v>17</v>
      </c>
      <c r="I300" s="3" t="n">
        <v>3</v>
      </c>
      <c r="J300" s="3" t="s">
        <v>17</v>
      </c>
      <c r="K300" s="3" t="s">
        <v>17</v>
      </c>
    </row>
    <row r="301" customFormat="false" ht="15" hidden="false" customHeight="false" outlineLevel="0" collapsed="false">
      <c r="A301" s="4" t="s">
        <v>192</v>
      </c>
      <c r="B301" s="4" t="s">
        <v>193</v>
      </c>
      <c r="C301" s="4" t="s">
        <v>194</v>
      </c>
      <c r="D301" s="4" t="s">
        <v>18</v>
      </c>
      <c r="E301" s="4" t="s">
        <v>19</v>
      </c>
      <c r="F301" s="4" t="n">
        <v>0</v>
      </c>
      <c r="G301" s="4" t="n">
        <v>6</v>
      </c>
      <c r="H301" s="4" t="n">
        <v>7.5</v>
      </c>
      <c r="I301" s="4" t="n">
        <v>2</v>
      </c>
      <c r="J301" s="4" t="n">
        <f aca="false">G301+I301</f>
        <v>8</v>
      </c>
      <c r="K301" s="4" t="n">
        <f aca="false">IF(H301&lt;=0,"",ROUND(J301/(H301/45),0))</f>
        <v>48</v>
      </c>
    </row>
    <row r="302" customFormat="false" ht="15" hidden="false" customHeight="false" outlineLevel="0" collapsed="false">
      <c r="A302" s="4" t="s">
        <v>192</v>
      </c>
      <c r="B302" s="4" t="s">
        <v>193</v>
      </c>
      <c r="C302" s="4" t="s">
        <v>194</v>
      </c>
      <c r="D302" s="4" t="s">
        <v>39</v>
      </c>
      <c r="E302" s="4" t="s">
        <v>19</v>
      </c>
      <c r="F302" s="4" t="n">
        <v>0</v>
      </c>
      <c r="G302" s="4" t="n">
        <v>2</v>
      </c>
      <c r="H302" s="4" t="n">
        <v>6.8</v>
      </c>
      <c r="I302" s="4" t="n">
        <v>4</v>
      </c>
      <c r="J302" s="4" t="n">
        <f aca="false">G302+I302</f>
        <v>6</v>
      </c>
      <c r="K302" s="4" t="n">
        <f aca="false">IF(H302&lt;=0,"",ROUND(J302/(H302/45),0))</f>
        <v>40</v>
      </c>
    </row>
    <row r="303" customFormat="false" ht="15" hidden="false" customHeight="false" outlineLevel="0" collapsed="false">
      <c r="A303" s="4" t="s">
        <v>192</v>
      </c>
      <c r="B303" s="4" t="s">
        <v>193</v>
      </c>
      <c r="C303" s="4" t="s">
        <v>194</v>
      </c>
      <c r="D303" s="4" t="s">
        <v>40</v>
      </c>
      <c r="E303" s="4" t="s">
        <v>19</v>
      </c>
      <c r="F303" s="4" t="n">
        <v>2</v>
      </c>
      <c r="G303" s="4" t="n">
        <v>0</v>
      </c>
      <c r="H303" s="4" t="n">
        <v>12.7</v>
      </c>
      <c r="I303" s="4" t="n">
        <v>11</v>
      </c>
      <c r="J303" s="4" t="n">
        <f aca="false">G303+I303</f>
        <v>11</v>
      </c>
      <c r="K303" s="4" t="n">
        <f aca="false">IF(H303&lt;=0,"",ROUND(J303/(H303/45),0))</f>
        <v>39</v>
      </c>
    </row>
    <row r="304" customFormat="false" ht="15" hidden="false" customHeight="false" outlineLevel="0" collapsed="false">
      <c r="A304" s="3" t="s">
        <v>195</v>
      </c>
      <c r="B304" s="3" t="s">
        <v>196</v>
      </c>
      <c r="C304" s="3" t="s">
        <v>197</v>
      </c>
      <c r="D304" s="3" t="s">
        <v>15</v>
      </c>
      <c r="E304" s="3" t="s">
        <v>16</v>
      </c>
      <c r="F304" s="3" t="s">
        <v>17</v>
      </c>
      <c r="G304" s="3" t="s">
        <v>17</v>
      </c>
      <c r="H304" s="3" t="s">
        <v>17</v>
      </c>
      <c r="I304" s="3" t="n">
        <v>5</v>
      </c>
      <c r="J304" s="3" t="s">
        <v>17</v>
      </c>
      <c r="K304" s="3" t="s">
        <v>17</v>
      </c>
    </row>
    <row r="305" customFormat="false" ht="15" hidden="false" customHeight="false" outlineLevel="0" collapsed="false">
      <c r="A305" s="3" t="s">
        <v>195</v>
      </c>
      <c r="B305" s="3" t="s">
        <v>196</v>
      </c>
      <c r="C305" s="3" t="s">
        <v>197</v>
      </c>
      <c r="D305" s="3" t="s">
        <v>33</v>
      </c>
      <c r="E305" s="3" t="s">
        <v>16</v>
      </c>
      <c r="F305" s="3" t="s">
        <v>17</v>
      </c>
      <c r="G305" s="3" t="s">
        <v>17</v>
      </c>
      <c r="H305" s="3" t="s">
        <v>17</v>
      </c>
      <c r="I305" s="3" t="n">
        <v>2</v>
      </c>
      <c r="J305" s="3" t="s">
        <v>17</v>
      </c>
      <c r="K305" s="3" t="s">
        <v>17</v>
      </c>
    </row>
    <row r="306" customFormat="false" ht="15" hidden="false" customHeight="false" outlineLevel="0" collapsed="false">
      <c r="A306" s="4" t="s">
        <v>195</v>
      </c>
      <c r="B306" s="4" t="s">
        <v>196</v>
      </c>
      <c r="C306" s="4" t="s">
        <v>197</v>
      </c>
      <c r="D306" s="4" t="s">
        <v>18</v>
      </c>
      <c r="E306" s="4" t="s">
        <v>19</v>
      </c>
      <c r="F306" s="4" t="n">
        <v>0</v>
      </c>
      <c r="G306" s="4" t="n">
        <v>0</v>
      </c>
      <c r="H306" s="4" t="n">
        <v>18</v>
      </c>
      <c r="I306" s="4" t="n">
        <v>2</v>
      </c>
      <c r="J306" s="4" t="n">
        <f aca="false">G306+I306</f>
        <v>2</v>
      </c>
      <c r="K306" s="4" t="n">
        <f aca="false">IF(H306&lt;=0,"",ROUND(J306/(H306/45),0))</f>
        <v>5</v>
      </c>
    </row>
    <row r="307" customFormat="false" ht="15" hidden="false" customHeight="false" outlineLevel="0" collapsed="false">
      <c r="A307" s="4" t="s">
        <v>198</v>
      </c>
      <c r="B307" s="4" t="s">
        <v>199</v>
      </c>
      <c r="C307" s="4" t="s">
        <v>200</v>
      </c>
      <c r="D307" s="4" t="s">
        <v>18</v>
      </c>
      <c r="E307" s="4" t="s">
        <v>19</v>
      </c>
      <c r="F307" s="4" t="n">
        <v>0</v>
      </c>
      <c r="G307" s="4" t="n">
        <v>0</v>
      </c>
      <c r="H307" s="4" t="n">
        <v>9</v>
      </c>
      <c r="I307" s="4" t="n">
        <v>3</v>
      </c>
      <c r="J307" s="4" t="n">
        <f aca="false">G307+I307</f>
        <v>3</v>
      </c>
      <c r="K307" s="4" t="n">
        <f aca="false">IF(H307&lt;=0,"",ROUND(J307/(H307/45),0))</f>
        <v>15</v>
      </c>
    </row>
    <row r="308" customFormat="false" ht="15" hidden="false" customHeight="false" outlineLevel="0" collapsed="false">
      <c r="A308" s="4" t="s">
        <v>201</v>
      </c>
      <c r="B308" s="4" t="s">
        <v>202</v>
      </c>
      <c r="C308" s="4" t="s">
        <v>203</v>
      </c>
      <c r="D308" s="4" t="s">
        <v>30</v>
      </c>
      <c r="E308" s="4" t="s">
        <v>19</v>
      </c>
      <c r="F308" s="4" t="n">
        <v>0</v>
      </c>
      <c r="G308" s="4" t="n">
        <v>0</v>
      </c>
      <c r="H308" s="4" t="n">
        <v>9.6</v>
      </c>
      <c r="I308" s="4" t="n">
        <v>2</v>
      </c>
      <c r="J308" s="4" t="n">
        <f aca="false">G308+I308</f>
        <v>2</v>
      </c>
      <c r="K308" s="4" t="n">
        <f aca="false">IF(H308&lt;=0,"",ROUND(J308/(H308/45),0))</f>
        <v>9</v>
      </c>
    </row>
    <row r="309" customFormat="false" ht="15" hidden="false" customHeight="false" outlineLevel="0" collapsed="false">
      <c r="A309" s="4" t="s">
        <v>201</v>
      </c>
      <c r="B309" s="4" t="s">
        <v>202</v>
      </c>
      <c r="C309" s="4" t="s">
        <v>203</v>
      </c>
      <c r="D309" s="4" t="s">
        <v>31</v>
      </c>
      <c r="E309" s="4" t="s">
        <v>19</v>
      </c>
      <c r="F309" s="4" t="n">
        <v>0</v>
      </c>
      <c r="G309" s="4" t="n">
        <v>0</v>
      </c>
      <c r="H309" s="4" t="n">
        <v>6.6</v>
      </c>
      <c r="I309" s="4" t="n">
        <v>2</v>
      </c>
      <c r="J309" s="4" t="n">
        <f aca="false">G309+I309</f>
        <v>2</v>
      </c>
      <c r="K309" s="4" t="n">
        <f aca="false">IF(H309&lt;=0,"",ROUND(J309/(H309/45),0))</f>
        <v>14</v>
      </c>
    </row>
    <row r="310" customFormat="false" ht="15" hidden="false" customHeight="false" outlineLevel="0" collapsed="false">
      <c r="A310" s="4" t="s">
        <v>201</v>
      </c>
      <c r="B310" s="4" t="s">
        <v>202</v>
      </c>
      <c r="C310" s="4" t="s">
        <v>203</v>
      </c>
      <c r="D310" s="4" t="s">
        <v>76</v>
      </c>
      <c r="E310" s="4" t="s">
        <v>19</v>
      </c>
      <c r="F310" s="4" t="n">
        <v>1</v>
      </c>
      <c r="G310" s="4" t="n">
        <v>0</v>
      </c>
      <c r="H310" s="4" t="n">
        <v>8.1</v>
      </c>
      <c r="I310" s="4" t="n">
        <v>2</v>
      </c>
      <c r="J310" s="4" t="n">
        <f aca="false">G310+I310</f>
        <v>2</v>
      </c>
      <c r="K310" s="4" t="n">
        <f aca="false">IF(H310&lt;=0,"",ROUND(J310/(H310/45),0))</f>
        <v>11</v>
      </c>
    </row>
    <row r="311" customFormat="false" ht="15" hidden="false" customHeight="false" outlineLevel="0" collapsed="false">
      <c r="A311" s="3" t="s">
        <v>201</v>
      </c>
      <c r="B311" s="3" t="s">
        <v>202</v>
      </c>
      <c r="C311" s="3" t="s">
        <v>203</v>
      </c>
      <c r="D311" s="3" t="s">
        <v>15</v>
      </c>
      <c r="E311" s="3" t="s">
        <v>16</v>
      </c>
      <c r="F311" s="3" t="s">
        <v>17</v>
      </c>
      <c r="G311" s="3" t="s">
        <v>17</v>
      </c>
      <c r="H311" s="3" t="s">
        <v>17</v>
      </c>
      <c r="I311" s="3" t="n">
        <v>4</v>
      </c>
      <c r="J311" s="3" t="s">
        <v>17</v>
      </c>
      <c r="K311" s="3" t="s">
        <v>17</v>
      </c>
    </row>
    <row r="312" customFormat="false" ht="15" hidden="false" customHeight="false" outlineLevel="0" collapsed="false">
      <c r="A312" s="4" t="s">
        <v>201</v>
      </c>
      <c r="B312" s="4" t="s">
        <v>202</v>
      </c>
      <c r="C312" s="4" t="s">
        <v>203</v>
      </c>
      <c r="D312" s="4" t="s">
        <v>53</v>
      </c>
      <c r="E312" s="4" t="s">
        <v>19</v>
      </c>
      <c r="F312" s="4" t="n">
        <v>6</v>
      </c>
      <c r="G312" s="4" t="n">
        <v>0</v>
      </c>
      <c r="H312" s="4" t="n">
        <v>20.1</v>
      </c>
      <c r="I312" s="4" t="n">
        <v>5</v>
      </c>
      <c r="J312" s="4" t="n">
        <f aca="false">G312+I312</f>
        <v>5</v>
      </c>
      <c r="K312" s="4" t="n">
        <f aca="false">IF(H312&lt;=0,"",ROUND(J312/(H312/45),0))</f>
        <v>11</v>
      </c>
    </row>
    <row r="313" customFormat="false" ht="15" hidden="false" customHeight="false" outlineLevel="0" collapsed="false">
      <c r="A313" s="4" t="s">
        <v>201</v>
      </c>
      <c r="B313" s="4" t="s">
        <v>202</v>
      </c>
      <c r="C313" s="4" t="s">
        <v>203</v>
      </c>
      <c r="D313" s="4" t="s">
        <v>39</v>
      </c>
      <c r="E313" s="4" t="s">
        <v>19</v>
      </c>
      <c r="F313" s="4" t="n">
        <v>0</v>
      </c>
      <c r="G313" s="4" t="n">
        <v>0</v>
      </c>
      <c r="H313" s="4" t="n">
        <v>6.4</v>
      </c>
      <c r="I313" s="4" t="n">
        <v>2</v>
      </c>
      <c r="J313" s="4" t="n">
        <f aca="false">G313+I313</f>
        <v>2</v>
      </c>
      <c r="K313" s="4" t="n">
        <f aca="false">IF(H313&lt;=0,"",ROUND(J313/(H313/45),0))</f>
        <v>14</v>
      </c>
    </row>
    <row r="314" customFormat="false" ht="15" hidden="false" customHeight="false" outlineLevel="0" collapsed="false">
      <c r="A314" s="4" t="s">
        <v>201</v>
      </c>
      <c r="B314" s="4" t="s">
        <v>202</v>
      </c>
      <c r="C314" s="4" t="s">
        <v>203</v>
      </c>
      <c r="D314" s="4" t="s">
        <v>70</v>
      </c>
      <c r="E314" s="4" t="s">
        <v>19</v>
      </c>
      <c r="F314" s="4" t="n">
        <v>0</v>
      </c>
      <c r="G314" s="4" t="n">
        <v>1</v>
      </c>
      <c r="H314" s="4" t="n">
        <v>8</v>
      </c>
      <c r="I314" s="4" t="n">
        <v>2</v>
      </c>
      <c r="J314" s="4" t="n">
        <f aca="false">G314+I314</f>
        <v>3</v>
      </c>
      <c r="K314" s="4" t="n">
        <f aca="false">IF(H314&lt;=0,"",ROUND(J314/(H314/45),0))</f>
        <v>17</v>
      </c>
    </row>
    <row r="315" customFormat="false" ht="15" hidden="false" customHeight="false" outlineLevel="0" collapsed="false">
      <c r="A315" s="4" t="s">
        <v>201</v>
      </c>
      <c r="B315" s="4" t="s">
        <v>202</v>
      </c>
      <c r="C315" s="4" t="s">
        <v>203</v>
      </c>
      <c r="D315" s="4" t="s">
        <v>40</v>
      </c>
      <c r="E315" s="4" t="s">
        <v>19</v>
      </c>
      <c r="F315" s="4" t="n">
        <v>0</v>
      </c>
      <c r="G315" s="4" t="n">
        <v>0</v>
      </c>
      <c r="H315" s="4" t="n">
        <v>6.3</v>
      </c>
      <c r="I315" s="4" t="n">
        <v>2</v>
      </c>
      <c r="J315" s="4" t="n">
        <f aca="false">G315+I315</f>
        <v>2</v>
      </c>
      <c r="K315" s="4" t="n">
        <f aca="false">IF(H315&lt;=0,"",ROUND(J315/(H315/45),0))</f>
        <v>14</v>
      </c>
    </row>
    <row r="316" customFormat="false" ht="15" hidden="false" customHeight="false" outlineLevel="0" collapsed="false">
      <c r="A316" s="4" t="s">
        <v>204</v>
      </c>
      <c r="B316" s="4" t="s">
        <v>205</v>
      </c>
      <c r="C316" s="4" t="s">
        <v>206</v>
      </c>
      <c r="D316" s="4" t="s">
        <v>18</v>
      </c>
      <c r="E316" s="4" t="s">
        <v>19</v>
      </c>
      <c r="F316" s="4" t="n">
        <v>0</v>
      </c>
      <c r="G316" s="4" t="n">
        <v>1</v>
      </c>
      <c r="H316" s="4" t="n">
        <v>6</v>
      </c>
      <c r="I316" s="4" t="n">
        <v>5</v>
      </c>
      <c r="J316" s="4" t="n">
        <f aca="false">G316+I316</f>
        <v>6</v>
      </c>
      <c r="K316" s="4" t="n">
        <f aca="false">IF(H316&lt;=0,"",ROUND(J316/(H316/45),0))</f>
        <v>45</v>
      </c>
    </row>
    <row r="317" customFormat="false" ht="15" hidden="false" customHeight="false" outlineLevel="0" collapsed="false">
      <c r="A317" s="4" t="s">
        <v>207</v>
      </c>
      <c r="B317" s="4" t="s">
        <v>208</v>
      </c>
      <c r="C317" s="4" t="s">
        <v>209</v>
      </c>
      <c r="D317" s="4" t="s">
        <v>74</v>
      </c>
      <c r="E317" s="4" t="s">
        <v>19</v>
      </c>
      <c r="F317" s="4" t="n">
        <v>12</v>
      </c>
      <c r="G317" s="4" t="n">
        <v>0</v>
      </c>
      <c r="H317" s="4" t="n">
        <v>38.4</v>
      </c>
      <c r="I317" s="4" t="n">
        <v>2</v>
      </c>
      <c r="J317" s="4" t="n">
        <f aca="false">G317+I317</f>
        <v>2</v>
      </c>
      <c r="K317" s="4" t="n">
        <f aca="false">IF(H317&lt;=0,"",ROUND(J317/(H317/45),0))</f>
        <v>2</v>
      </c>
    </row>
    <row r="318" customFormat="false" ht="15" hidden="false" customHeight="false" outlineLevel="0" collapsed="false">
      <c r="A318" s="4" t="s">
        <v>207</v>
      </c>
      <c r="B318" s="4" t="s">
        <v>208</v>
      </c>
      <c r="C318" s="4" t="s">
        <v>209</v>
      </c>
      <c r="D318" s="4" t="s">
        <v>30</v>
      </c>
      <c r="E318" s="4" t="s">
        <v>19</v>
      </c>
      <c r="F318" s="4" t="n">
        <v>2</v>
      </c>
      <c r="G318" s="4" t="n">
        <v>0</v>
      </c>
      <c r="H318" s="4" t="n">
        <v>9.4</v>
      </c>
      <c r="I318" s="4" t="n">
        <v>7</v>
      </c>
      <c r="J318" s="4" t="n">
        <f aca="false">G318+I318</f>
        <v>7</v>
      </c>
      <c r="K318" s="4" t="n">
        <f aca="false">IF(H318&lt;=0,"",ROUND(J318/(H318/45),0))</f>
        <v>34</v>
      </c>
    </row>
    <row r="319" customFormat="false" ht="15" hidden="false" customHeight="false" outlineLevel="0" collapsed="false">
      <c r="A319" s="4" t="s">
        <v>207</v>
      </c>
      <c r="B319" s="4" t="s">
        <v>208</v>
      </c>
      <c r="C319" s="4" t="s">
        <v>209</v>
      </c>
      <c r="D319" s="4" t="s">
        <v>31</v>
      </c>
      <c r="E319" s="4" t="s">
        <v>19</v>
      </c>
      <c r="F319" s="4" t="n">
        <v>7</v>
      </c>
      <c r="G319" s="4" t="n">
        <v>0</v>
      </c>
      <c r="H319" s="4" t="n">
        <v>21</v>
      </c>
      <c r="I319" s="4" t="n">
        <v>2</v>
      </c>
      <c r="J319" s="4" t="n">
        <f aca="false">G319+I319</f>
        <v>2</v>
      </c>
      <c r="K319" s="4" t="n">
        <f aca="false">IF(H319&lt;=0,"",ROUND(J319/(H319/45),0))</f>
        <v>4</v>
      </c>
    </row>
    <row r="320" customFormat="false" ht="15" hidden="false" customHeight="false" outlineLevel="0" collapsed="false">
      <c r="A320" s="4" t="s">
        <v>207</v>
      </c>
      <c r="B320" s="4" t="s">
        <v>208</v>
      </c>
      <c r="C320" s="4" t="s">
        <v>209</v>
      </c>
      <c r="D320" s="4" t="s">
        <v>76</v>
      </c>
      <c r="E320" s="4" t="s">
        <v>19</v>
      </c>
      <c r="F320" s="4" t="n">
        <v>16</v>
      </c>
      <c r="G320" s="4" t="n">
        <v>3</v>
      </c>
      <c r="H320" s="4" t="n">
        <v>48</v>
      </c>
      <c r="I320" s="4" t="n">
        <v>31</v>
      </c>
      <c r="J320" s="4" t="n">
        <f aca="false">G320+I320</f>
        <v>34</v>
      </c>
      <c r="K320" s="4" t="n">
        <f aca="false">IF(H320&lt;=0,"",ROUND(J320/(H320/45),0))</f>
        <v>32</v>
      </c>
    </row>
    <row r="321" customFormat="false" ht="15" hidden="false" customHeight="false" outlineLevel="0" collapsed="false">
      <c r="A321" s="3" t="s">
        <v>207</v>
      </c>
      <c r="B321" s="3" t="s">
        <v>208</v>
      </c>
      <c r="C321" s="3" t="s">
        <v>209</v>
      </c>
      <c r="D321" s="3" t="s">
        <v>15</v>
      </c>
      <c r="E321" s="3" t="s">
        <v>16</v>
      </c>
      <c r="F321" s="3" t="s">
        <v>17</v>
      </c>
      <c r="G321" s="3" t="s">
        <v>17</v>
      </c>
      <c r="H321" s="3" t="s">
        <v>17</v>
      </c>
      <c r="I321" s="3" t="n">
        <v>43</v>
      </c>
      <c r="J321" s="3" t="s">
        <v>17</v>
      </c>
      <c r="K321" s="3" t="s">
        <v>17</v>
      </c>
    </row>
    <row r="322" customFormat="false" ht="15" hidden="false" customHeight="false" outlineLevel="0" collapsed="false">
      <c r="A322" s="4" t="s">
        <v>207</v>
      </c>
      <c r="B322" s="4" t="s">
        <v>208</v>
      </c>
      <c r="C322" s="4" t="s">
        <v>209</v>
      </c>
      <c r="D322" s="4" t="s">
        <v>32</v>
      </c>
      <c r="E322" s="4" t="s">
        <v>19</v>
      </c>
      <c r="F322" s="4" t="n">
        <v>2</v>
      </c>
      <c r="G322" s="4" t="n">
        <v>0</v>
      </c>
      <c r="H322" s="4" t="n">
        <v>10.9</v>
      </c>
      <c r="I322" s="4" t="n">
        <v>8</v>
      </c>
      <c r="J322" s="4" t="n">
        <f aca="false">G322+I322</f>
        <v>8</v>
      </c>
      <c r="K322" s="4" t="n">
        <f aca="false">IF(H322&lt;=0,"",ROUND(J322/(H322/45),0))</f>
        <v>33</v>
      </c>
    </row>
    <row r="323" customFormat="false" ht="15" hidden="false" customHeight="false" outlineLevel="0" collapsed="false">
      <c r="A323" s="3" t="s">
        <v>207</v>
      </c>
      <c r="B323" s="3" t="s">
        <v>208</v>
      </c>
      <c r="C323" s="3" t="s">
        <v>209</v>
      </c>
      <c r="D323" s="3" t="s">
        <v>33</v>
      </c>
      <c r="E323" s="3" t="s">
        <v>16</v>
      </c>
      <c r="F323" s="3" t="s">
        <v>17</v>
      </c>
      <c r="G323" s="3" t="s">
        <v>17</v>
      </c>
      <c r="H323" s="3" t="s">
        <v>17</v>
      </c>
      <c r="I323" s="3" t="n">
        <v>19</v>
      </c>
      <c r="J323" s="3" t="s">
        <v>17</v>
      </c>
      <c r="K323" s="3" t="s">
        <v>17</v>
      </c>
    </row>
    <row r="324" customFormat="false" ht="15" hidden="false" customHeight="false" outlineLevel="0" collapsed="false">
      <c r="A324" s="4" t="s">
        <v>207</v>
      </c>
      <c r="B324" s="4" t="s">
        <v>208</v>
      </c>
      <c r="C324" s="4" t="s">
        <v>209</v>
      </c>
      <c r="D324" s="4" t="s">
        <v>34</v>
      </c>
      <c r="E324" s="4" t="s">
        <v>19</v>
      </c>
      <c r="F324" s="4" t="n">
        <v>2</v>
      </c>
      <c r="G324" s="4" t="n">
        <v>0</v>
      </c>
      <c r="H324" s="4" t="n">
        <v>10.5</v>
      </c>
      <c r="I324" s="4" t="n">
        <v>7</v>
      </c>
      <c r="J324" s="4" t="n">
        <f aca="false">G324+I324</f>
        <v>7</v>
      </c>
      <c r="K324" s="4" t="n">
        <f aca="false">IF(H324&lt;=0,"",ROUND(J324/(H324/45),0))</f>
        <v>30</v>
      </c>
    </row>
    <row r="325" customFormat="false" ht="15" hidden="false" customHeight="false" outlineLevel="0" collapsed="false">
      <c r="A325" s="4" t="s">
        <v>207</v>
      </c>
      <c r="B325" s="4" t="s">
        <v>208</v>
      </c>
      <c r="C325" s="4" t="s">
        <v>209</v>
      </c>
      <c r="D325" s="4" t="s">
        <v>35</v>
      </c>
      <c r="E325" s="4" t="s">
        <v>19</v>
      </c>
      <c r="F325" s="4" t="n">
        <v>7</v>
      </c>
      <c r="G325" s="4" t="n">
        <v>0</v>
      </c>
      <c r="H325" s="4" t="n">
        <v>21</v>
      </c>
      <c r="I325" s="4" t="n">
        <v>15</v>
      </c>
      <c r="J325" s="4" t="n">
        <f aca="false">G325+I325</f>
        <v>15</v>
      </c>
      <c r="K325" s="4" t="n">
        <f aca="false">IF(H325&lt;=0,"",ROUND(J325/(H325/45),0))</f>
        <v>32</v>
      </c>
    </row>
    <row r="326" customFormat="false" ht="15" hidden="false" customHeight="false" outlineLevel="0" collapsed="false">
      <c r="A326" s="4" t="s">
        <v>207</v>
      </c>
      <c r="B326" s="4" t="s">
        <v>208</v>
      </c>
      <c r="C326" s="4" t="s">
        <v>209</v>
      </c>
      <c r="D326" s="4" t="s">
        <v>78</v>
      </c>
      <c r="E326" s="4" t="s">
        <v>19</v>
      </c>
      <c r="F326" s="4" t="n">
        <v>1</v>
      </c>
      <c r="G326" s="4" t="n">
        <v>0</v>
      </c>
      <c r="H326" s="4" t="n">
        <v>6.1</v>
      </c>
      <c r="I326" s="4" t="n">
        <v>4</v>
      </c>
      <c r="J326" s="4" t="n">
        <f aca="false">G326+I326</f>
        <v>4</v>
      </c>
      <c r="K326" s="4" t="n">
        <f aca="false">IF(H326&lt;=0,"",ROUND(J326/(H326/45),0))</f>
        <v>30</v>
      </c>
    </row>
    <row r="327" customFormat="false" ht="15" hidden="false" customHeight="false" outlineLevel="0" collapsed="false">
      <c r="A327" s="4" t="s">
        <v>207</v>
      </c>
      <c r="B327" s="4" t="s">
        <v>208</v>
      </c>
      <c r="C327" s="4" t="s">
        <v>209</v>
      </c>
      <c r="D327" s="4" t="s">
        <v>18</v>
      </c>
      <c r="E327" s="4" t="s">
        <v>19</v>
      </c>
      <c r="F327" s="4" t="n">
        <v>1</v>
      </c>
      <c r="G327" s="4" t="n">
        <v>0</v>
      </c>
      <c r="H327" s="4" t="n">
        <v>10.9</v>
      </c>
      <c r="I327" s="4" t="n">
        <v>2</v>
      </c>
      <c r="J327" s="4" t="n">
        <f aca="false">G327+I327</f>
        <v>2</v>
      </c>
      <c r="K327" s="4" t="n">
        <f aca="false">IF(H327&lt;=0,"",ROUND(J327/(H327/45),0))</f>
        <v>8</v>
      </c>
    </row>
    <row r="328" customFormat="false" ht="15" hidden="false" customHeight="false" outlineLevel="0" collapsed="false">
      <c r="A328" s="4" t="s">
        <v>207</v>
      </c>
      <c r="B328" s="4" t="s">
        <v>208</v>
      </c>
      <c r="C328" s="4" t="s">
        <v>209</v>
      </c>
      <c r="D328" s="4" t="s">
        <v>39</v>
      </c>
      <c r="E328" s="4" t="s">
        <v>19</v>
      </c>
      <c r="F328" s="4" t="n">
        <v>6</v>
      </c>
      <c r="G328" s="4" t="n">
        <v>1</v>
      </c>
      <c r="H328" s="4" t="n">
        <v>25.7</v>
      </c>
      <c r="I328" s="4" t="n">
        <v>17</v>
      </c>
      <c r="J328" s="4" t="n">
        <f aca="false">G328+I328</f>
        <v>18</v>
      </c>
      <c r="K328" s="4" t="n">
        <f aca="false">IF(H328&lt;=0,"",ROUND(J328/(H328/45),0))</f>
        <v>32</v>
      </c>
    </row>
    <row r="329" customFormat="false" ht="15" hidden="false" customHeight="false" outlineLevel="0" collapsed="false">
      <c r="A329" s="4" t="s">
        <v>207</v>
      </c>
      <c r="B329" s="4" t="s">
        <v>208</v>
      </c>
      <c r="C329" s="4" t="s">
        <v>209</v>
      </c>
      <c r="D329" s="4" t="s">
        <v>70</v>
      </c>
      <c r="E329" s="4" t="s">
        <v>19</v>
      </c>
      <c r="F329" s="4" t="n">
        <v>9</v>
      </c>
      <c r="G329" s="4" t="n">
        <v>11</v>
      </c>
      <c r="H329" s="4" t="n">
        <v>27</v>
      </c>
      <c r="I329" s="4" t="n">
        <v>11</v>
      </c>
      <c r="J329" s="4" t="n">
        <f aca="false">G329+I329</f>
        <v>22</v>
      </c>
      <c r="K329" s="4" t="n">
        <f aca="false">IF(H329&lt;=0,"",ROUND(J329/(H329/45),0))</f>
        <v>37</v>
      </c>
    </row>
    <row r="330" customFormat="false" ht="15" hidden="false" customHeight="false" outlineLevel="0" collapsed="false">
      <c r="A330" s="4" t="s">
        <v>210</v>
      </c>
      <c r="B330" s="4" t="s">
        <v>211</v>
      </c>
      <c r="C330" s="4" t="s">
        <v>212</v>
      </c>
      <c r="D330" s="4" t="s">
        <v>74</v>
      </c>
      <c r="E330" s="4" t="s">
        <v>19</v>
      </c>
      <c r="F330" s="4" t="n">
        <v>10</v>
      </c>
      <c r="G330" s="4" t="n">
        <v>5</v>
      </c>
      <c r="H330" s="4" t="n">
        <v>32.3</v>
      </c>
      <c r="I330" s="4" t="n">
        <v>2</v>
      </c>
      <c r="J330" s="4" t="n">
        <f aca="false">G330+I330</f>
        <v>7</v>
      </c>
      <c r="K330" s="4" t="n">
        <f aca="false">IF(H330&lt;=0,"",ROUND(J330/(H330/45),0))</f>
        <v>10</v>
      </c>
    </row>
    <row r="331" customFormat="false" ht="15" hidden="false" customHeight="false" outlineLevel="0" collapsed="false">
      <c r="A331" s="4" t="s">
        <v>210</v>
      </c>
      <c r="B331" s="4" t="s">
        <v>211</v>
      </c>
      <c r="C331" s="4" t="s">
        <v>212</v>
      </c>
      <c r="D331" s="4" t="s">
        <v>30</v>
      </c>
      <c r="E331" s="4" t="s">
        <v>19</v>
      </c>
      <c r="F331" s="4" t="n">
        <v>11</v>
      </c>
      <c r="G331" s="4" t="n">
        <v>3</v>
      </c>
      <c r="H331" s="4" t="n">
        <v>36.5</v>
      </c>
      <c r="I331" s="4" t="n">
        <v>8</v>
      </c>
      <c r="J331" s="4" t="n">
        <f aca="false">G331+I331</f>
        <v>11</v>
      </c>
      <c r="K331" s="4" t="n">
        <f aca="false">IF(H331&lt;=0,"",ROUND(J331/(H331/45),0))</f>
        <v>14</v>
      </c>
    </row>
    <row r="332" customFormat="false" ht="15" hidden="false" customHeight="false" outlineLevel="0" collapsed="false">
      <c r="A332" s="4" t="s">
        <v>210</v>
      </c>
      <c r="B332" s="4" t="s">
        <v>211</v>
      </c>
      <c r="C332" s="4" t="s">
        <v>212</v>
      </c>
      <c r="D332" s="4" t="s">
        <v>182</v>
      </c>
      <c r="E332" s="4" t="s">
        <v>19</v>
      </c>
      <c r="F332" s="4" t="n">
        <v>2</v>
      </c>
      <c r="G332" s="4" t="n">
        <v>0</v>
      </c>
      <c r="H332" s="4" t="n">
        <v>6</v>
      </c>
      <c r="I332" s="4" t="n">
        <v>2</v>
      </c>
      <c r="J332" s="4" t="n">
        <f aca="false">G332+I332</f>
        <v>2</v>
      </c>
      <c r="K332" s="4" t="n">
        <f aca="false">IF(H332&lt;=0,"",ROUND(J332/(H332/45),0))</f>
        <v>15</v>
      </c>
    </row>
    <row r="333" customFormat="false" ht="15" hidden="false" customHeight="false" outlineLevel="0" collapsed="false">
      <c r="A333" s="4" t="s">
        <v>210</v>
      </c>
      <c r="B333" s="4" t="s">
        <v>211</v>
      </c>
      <c r="C333" s="4" t="s">
        <v>212</v>
      </c>
      <c r="D333" s="4" t="s">
        <v>31</v>
      </c>
      <c r="E333" s="4" t="s">
        <v>19</v>
      </c>
      <c r="F333" s="4" t="n">
        <v>5</v>
      </c>
      <c r="G333" s="4" t="n">
        <v>0</v>
      </c>
      <c r="H333" s="4" t="n">
        <v>18</v>
      </c>
      <c r="I333" s="4" t="n">
        <v>2</v>
      </c>
      <c r="J333" s="4" t="n">
        <f aca="false">G333+I333</f>
        <v>2</v>
      </c>
      <c r="K333" s="4" t="n">
        <f aca="false">IF(H333&lt;=0,"",ROUND(J333/(H333/45),0))</f>
        <v>5</v>
      </c>
    </row>
    <row r="334" customFormat="false" ht="15" hidden="false" customHeight="false" outlineLevel="0" collapsed="false">
      <c r="A334" s="4" t="s">
        <v>210</v>
      </c>
      <c r="B334" s="4" t="s">
        <v>211</v>
      </c>
      <c r="C334" s="4" t="s">
        <v>212</v>
      </c>
      <c r="D334" s="4" t="s">
        <v>76</v>
      </c>
      <c r="E334" s="4" t="s">
        <v>19</v>
      </c>
      <c r="F334" s="4" t="n">
        <v>11</v>
      </c>
      <c r="G334" s="4" t="n">
        <v>6</v>
      </c>
      <c r="H334" s="4" t="n">
        <v>33</v>
      </c>
      <c r="I334" s="4" t="n">
        <v>21</v>
      </c>
      <c r="J334" s="4" t="n">
        <f aca="false">G334+I334</f>
        <v>27</v>
      </c>
      <c r="K334" s="4" t="n">
        <f aca="false">IF(H334&lt;=0,"",ROUND(J334/(H334/45),0))</f>
        <v>37</v>
      </c>
    </row>
    <row r="335" customFormat="false" ht="15" hidden="false" customHeight="false" outlineLevel="0" collapsed="false">
      <c r="A335" s="3" t="s">
        <v>210</v>
      </c>
      <c r="B335" s="3" t="s">
        <v>211</v>
      </c>
      <c r="C335" s="3" t="s">
        <v>212</v>
      </c>
      <c r="D335" s="3" t="s">
        <v>15</v>
      </c>
      <c r="E335" s="3" t="s">
        <v>16</v>
      </c>
      <c r="F335" s="3" t="s">
        <v>17</v>
      </c>
      <c r="G335" s="3" t="s">
        <v>17</v>
      </c>
      <c r="H335" s="3" t="s">
        <v>17</v>
      </c>
      <c r="I335" s="3" t="n">
        <v>47</v>
      </c>
      <c r="J335" s="3" t="s">
        <v>17</v>
      </c>
      <c r="K335" s="3" t="s">
        <v>17</v>
      </c>
    </row>
    <row r="336" customFormat="false" ht="15" hidden="false" customHeight="false" outlineLevel="0" collapsed="false">
      <c r="A336" s="4" t="s">
        <v>210</v>
      </c>
      <c r="B336" s="4" t="s">
        <v>211</v>
      </c>
      <c r="C336" s="4" t="s">
        <v>212</v>
      </c>
      <c r="D336" s="4" t="s">
        <v>32</v>
      </c>
      <c r="E336" s="4" t="s">
        <v>19</v>
      </c>
      <c r="F336" s="4" t="n">
        <v>2</v>
      </c>
      <c r="G336" s="4" t="n">
        <v>0</v>
      </c>
      <c r="H336" s="4" t="n">
        <v>8.9</v>
      </c>
      <c r="I336" s="4" t="n">
        <v>7</v>
      </c>
      <c r="J336" s="4" t="n">
        <f aca="false">G336+I336</f>
        <v>7</v>
      </c>
      <c r="K336" s="4" t="n">
        <f aca="false">IF(H336&lt;=0,"",ROUND(J336/(H336/45),0))</f>
        <v>35</v>
      </c>
    </row>
    <row r="337" customFormat="false" ht="15" hidden="false" customHeight="false" outlineLevel="0" collapsed="false">
      <c r="A337" s="3" t="s">
        <v>210</v>
      </c>
      <c r="B337" s="3" t="s">
        <v>211</v>
      </c>
      <c r="C337" s="3" t="s">
        <v>212</v>
      </c>
      <c r="D337" s="3" t="s">
        <v>33</v>
      </c>
      <c r="E337" s="3" t="s">
        <v>16</v>
      </c>
      <c r="F337" s="3" t="s">
        <v>17</v>
      </c>
      <c r="G337" s="3" t="s">
        <v>17</v>
      </c>
      <c r="H337" s="3" t="s">
        <v>17</v>
      </c>
      <c r="I337" s="3" t="n">
        <v>21</v>
      </c>
      <c r="J337" s="3" t="s">
        <v>17</v>
      </c>
      <c r="K337" s="3" t="s">
        <v>17</v>
      </c>
    </row>
    <row r="338" customFormat="false" ht="15" hidden="false" customHeight="false" outlineLevel="0" collapsed="false">
      <c r="A338" s="4" t="s">
        <v>210</v>
      </c>
      <c r="B338" s="4" t="s">
        <v>211</v>
      </c>
      <c r="C338" s="4" t="s">
        <v>212</v>
      </c>
      <c r="D338" s="4" t="s">
        <v>66</v>
      </c>
      <c r="E338" s="4" t="s">
        <v>19</v>
      </c>
      <c r="F338" s="4" t="n">
        <v>2</v>
      </c>
      <c r="G338" s="4" t="n">
        <v>6</v>
      </c>
      <c r="H338" s="4" t="n">
        <v>8.5</v>
      </c>
      <c r="I338" s="4" t="n">
        <v>2</v>
      </c>
      <c r="J338" s="4" t="n">
        <f aca="false">G338+I338</f>
        <v>8</v>
      </c>
      <c r="K338" s="4" t="n">
        <f aca="false">IF(H338&lt;=0,"",ROUND(J338/(H338/45),0))</f>
        <v>42</v>
      </c>
    </row>
    <row r="339" customFormat="false" ht="15" hidden="false" customHeight="false" outlineLevel="0" collapsed="false">
      <c r="A339" s="4" t="s">
        <v>210</v>
      </c>
      <c r="B339" s="4" t="s">
        <v>211</v>
      </c>
      <c r="C339" s="4" t="s">
        <v>212</v>
      </c>
      <c r="D339" s="4" t="s">
        <v>53</v>
      </c>
      <c r="E339" s="4" t="s">
        <v>19</v>
      </c>
      <c r="F339" s="4" t="n">
        <v>1</v>
      </c>
      <c r="G339" s="4" t="n">
        <v>0</v>
      </c>
      <c r="H339" s="4" t="n">
        <v>6.1</v>
      </c>
      <c r="I339" s="4" t="n">
        <v>5</v>
      </c>
      <c r="J339" s="4" t="n">
        <f aca="false">G339+I339</f>
        <v>5</v>
      </c>
      <c r="K339" s="4" t="n">
        <f aca="false">IF(H339&lt;=0,"",ROUND(J339/(H339/45),0))</f>
        <v>37</v>
      </c>
    </row>
    <row r="340" customFormat="false" ht="15" hidden="false" customHeight="false" outlineLevel="0" collapsed="false">
      <c r="A340" s="4" t="s">
        <v>210</v>
      </c>
      <c r="B340" s="4" t="s">
        <v>211</v>
      </c>
      <c r="C340" s="4" t="s">
        <v>212</v>
      </c>
      <c r="D340" s="4" t="s">
        <v>18</v>
      </c>
      <c r="E340" s="4" t="s">
        <v>19</v>
      </c>
      <c r="F340" s="4" t="n">
        <v>2</v>
      </c>
      <c r="G340" s="4" t="n">
        <v>0</v>
      </c>
      <c r="H340" s="4" t="n">
        <v>10.5</v>
      </c>
      <c r="I340" s="4" t="n">
        <v>2</v>
      </c>
      <c r="J340" s="4" t="n">
        <f aca="false">G340+I340</f>
        <v>2</v>
      </c>
      <c r="K340" s="4" t="n">
        <f aca="false">IF(H340&lt;=0,"",ROUND(J340/(H340/45),0))</f>
        <v>9</v>
      </c>
    </row>
    <row r="341" customFormat="false" ht="15" hidden="false" customHeight="false" outlineLevel="0" collapsed="false">
      <c r="A341" s="4" t="s">
        <v>210</v>
      </c>
      <c r="B341" s="4" t="s">
        <v>211</v>
      </c>
      <c r="C341" s="4" t="s">
        <v>212</v>
      </c>
      <c r="D341" s="4" t="s">
        <v>70</v>
      </c>
      <c r="E341" s="4" t="s">
        <v>19</v>
      </c>
      <c r="F341" s="4" t="n">
        <v>13</v>
      </c>
      <c r="G341" s="4" t="n">
        <v>6</v>
      </c>
      <c r="H341" s="4" t="n">
        <v>41.6</v>
      </c>
      <c r="I341" s="4" t="n">
        <v>27</v>
      </c>
      <c r="J341" s="4" t="n">
        <f aca="false">G341+I341</f>
        <v>33</v>
      </c>
      <c r="K341" s="4" t="n">
        <f aca="false">IF(H341&lt;=0,"",ROUND(J341/(H341/45),0))</f>
        <v>36</v>
      </c>
    </row>
    <row r="342" customFormat="false" ht="15" hidden="false" customHeight="false" outlineLevel="0" collapsed="false">
      <c r="A342" s="4" t="s">
        <v>210</v>
      </c>
      <c r="B342" s="4" t="s">
        <v>211</v>
      </c>
      <c r="C342" s="4" t="s">
        <v>212</v>
      </c>
      <c r="D342" s="4" t="s">
        <v>40</v>
      </c>
      <c r="E342" s="4" t="s">
        <v>19</v>
      </c>
      <c r="F342" s="4" t="n">
        <v>1</v>
      </c>
      <c r="G342" s="4" t="n">
        <v>0</v>
      </c>
      <c r="H342" s="4" t="n">
        <v>7</v>
      </c>
      <c r="I342" s="4" t="n">
        <v>5</v>
      </c>
      <c r="J342" s="4" t="n">
        <f aca="false">G342+I342</f>
        <v>5</v>
      </c>
      <c r="K342" s="4" t="n">
        <f aca="false">IF(H342&lt;=0,"",ROUND(J342/(H342/45),0))</f>
        <v>32</v>
      </c>
    </row>
    <row r="343" customFormat="false" ht="15" hidden="false" customHeight="false" outlineLevel="0" collapsed="false">
      <c r="A343" s="4" t="s">
        <v>213</v>
      </c>
      <c r="B343" s="4" t="s">
        <v>214</v>
      </c>
      <c r="C343" s="4" t="s">
        <v>215</v>
      </c>
      <c r="D343" s="4" t="s">
        <v>18</v>
      </c>
      <c r="E343" s="4" t="s">
        <v>19</v>
      </c>
      <c r="F343" s="4" t="n">
        <v>1</v>
      </c>
      <c r="G343" s="4" t="n">
        <v>0</v>
      </c>
      <c r="H343" s="4" t="n">
        <v>9</v>
      </c>
      <c r="I343" s="4" t="n">
        <v>4</v>
      </c>
      <c r="J343" s="4" t="n">
        <f aca="false">G343+I343</f>
        <v>4</v>
      </c>
      <c r="K343" s="4" t="n">
        <f aca="false">IF(H343&lt;=0,"",ROUND(J343/(H343/45),0))</f>
        <v>20</v>
      </c>
    </row>
    <row r="344" customFormat="false" ht="15" hidden="false" customHeight="false" outlineLevel="0" collapsed="false">
      <c r="A344" s="4" t="s">
        <v>216</v>
      </c>
      <c r="B344" s="4" t="s">
        <v>217</v>
      </c>
      <c r="C344" s="4" t="s">
        <v>218</v>
      </c>
      <c r="D344" s="4" t="s">
        <v>74</v>
      </c>
      <c r="E344" s="4" t="s">
        <v>19</v>
      </c>
      <c r="F344" s="4" t="n">
        <v>2</v>
      </c>
      <c r="G344" s="4" t="n">
        <v>0</v>
      </c>
      <c r="H344" s="4" t="n">
        <v>6</v>
      </c>
      <c r="I344" s="4" t="n">
        <v>2</v>
      </c>
      <c r="J344" s="4" t="n">
        <f aca="false">G344+I344</f>
        <v>2</v>
      </c>
      <c r="K344" s="4" t="n">
        <f aca="false">IF(H344&lt;=0,"",ROUND(J344/(H344/45),0))</f>
        <v>15</v>
      </c>
    </row>
    <row r="345" customFormat="false" ht="15" hidden="false" customHeight="false" outlineLevel="0" collapsed="false">
      <c r="A345" s="4" t="s">
        <v>216</v>
      </c>
      <c r="B345" s="4" t="s">
        <v>217</v>
      </c>
      <c r="C345" s="4" t="s">
        <v>218</v>
      </c>
      <c r="D345" s="4" t="s">
        <v>30</v>
      </c>
      <c r="E345" s="4" t="s">
        <v>19</v>
      </c>
      <c r="F345" s="4" t="n">
        <v>5</v>
      </c>
      <c r="G345" s="4" t="n">
        <v>0</v>
      </c>
      <c r="H345" s="4" t="n">
        <v>15</v>
      </c>
      <c r="I345" s="4" t="n">
        <v>2</v>
      </c>
      <c r="J345" s="4" t="n">
        <f aca="false">G345+I345</f>
        <v>2</v>
      </c>
      <c r="K345" s="4" t="n">
        <f aca="false">IF(H345&lt;=0,"",ROUND(J345/(H345/45),0))</f>
        <v>6</v>
      </c>
    </row>
    <row r="346" customFormat="false" ht="15" hidden="false" customHeight="false" outlineLevel="0" collapsed="false">
      <c r="A346" s="4" t="s">
        <v>216</v>
      </c>
      <c r="B346" s="4" t="s">
        <v>217</v>
      </c>
      <c r="C346" s="4" t="s">
        <v>218</v>
      </c>
      <c r="D346" s="4" t="s">
        <v>76</v>
      </c>
      <c r="E346" s="4" t="s">
        <v>19</v>
      </c>
      <c r="F346" s="4" t="n">
        <v>11</v>
      </c>
      <c r="G346" s="4" t="n">
        <v>21</v>
      </c>
      <c r="H346" s="4" t="n">
        <v>33</v>
      </c>
      <c r="I346" s="4" t="n">
        <v>2</v>
      </c>
      <c r="J346" s="4" t="n">
        <f aca="false">G346+I346</f>
        <v>23</v>
      </c>
      <c r="K346" s="4" t="n">
        <f aca="false">IF(H346&lt;=0,"",ROUND(J346/(H346/45),0))</f>
        <v>31</v>
      </c>
    </row>
    <row r="347" customFormat="false" ht="15" hidden="false" customHeight="false" outlineLevel="0" collapsed="false">
      <c r="A347" s="4" t="s">
        <v>216</v>
      </c>
      <c r="B347" s="4" t="s">
        <v>217</v>
      </c>
      <c r="C347" s="4" t="s">
        <v>218</v>
      </c>
      <c r="D347" s="4" t="s">
        <v>18</v>
      </c>
      <c r="E347" s="4" t="s">
        <v>19</v>
      </c>
      <c r="F347" s="4" t="n">
        <v>0</v>
      </c>
      <c r="G347" s="4" t="n">
        <v>1</v>
      </c>
      <c r="H347" s="4" t="n">
        <v>7.5</v>
      </c>
      <c r="I347" s="4" t="n">
        <v>2</v>
      </c>
      <c r="J347" s="4" t="n">
        <f aca="false">G347+I347</f>
        <v>3</v>
      </c>
      <c r="K347" s="4" t="n">
        <f aca="false">IF(H347&lt;=0,"",ROUND(J347/(H347/45),0))</f>
        <v>18</v>
      </c>
    </row>
    <row r="348" customFormat="false" ht="15" hidden="false" customHeight="false" outlineLevel="0" collapsed="false">
      <c r="A348" s="4" t="s">
        <v>216</v>
      </c>
      <c r="B348" s="4" t="s">
        <v>217</v>
      </c>
      <c r="C348" s="4" t="s">
        <v>218</v>
      </c>
      <c r="D348" s="4" t="s">
        <v>39</v>
      </c>
      <c r="E348" s="4" t="s">
        <v>19</v>
      </c>
      <c r="F348" s="4" t="n">
        <v>0</v>
      </c>
      <c r="G348" s="4" t="n">
        <v>1</v>
      </c>
      <c r="H348" s="4" t="n">
        <v>6.8</v>
      </c>
      <c r="I348" s="4" t="n">
        <v>2</v>
      </c>
      <c r="J348" s="4" t="n">
        <f aca="false">G348+I348</f>
        <v>3</v>
      </c>
      <c r="K348" s="4" t="n">
        <f aca="false">IF(H348&lt;=0,"",ROUND(J348/(H348/45),0))</f>
        <v>20</v>
      </c>
    </row>
    <row r="349" customFormat="false" ht="15" hidden="false" customHeight="false" outlineLevel="0" collapsed="false">
      <c r="A349" s="4" t="s">
        <v>216</v>
      </c>
      <c r="B349" s="4" t="s">
        <v>217</v>
      </c>
      <c r="C349" s="4" t="s">
        <v>218</v>
      </c>
      <c r="D349" s="4" t="s">
        <v>40</v>
      </c>
      <c r="E349" s="4" t="s">
        <v>19</v>
      </c>
      <c r="F349" s="4" t="n">
        <v>0</v>
      </c>
      <c r="G349" s="4" t="n">
        <v>1</v>
      </c>
      <c r="H349" s="4" t="n">
        <v>6.7</v>
      </c>
      <c r="I349" s="4" t="n">
        <v>2</v>
      </c>
      <c r="J349" s="4" t="n">
        <f aca="false">G349+I349</f>
        <v>3</v>
      </c>
      <c r="K349" s="4" t="n">
        <f aca="false">IF(H349&lt;=0,"",ROUND(J349/(H349/45),0))</f>
        <v>20</v>
      </c>
    </row>
    <row r="350" customFormat="false" ht="15" hidden="false" customHeight="false" outlineLevel="0" collapsed="false">
      <c r="A350" s="4" t="s">
        <v>219</v>
      </c>
      <c r="B350" s="4" t="s">
        <v>220</v>
      </c>
      <c r="C350" s="4" t="s">
        <v>221</v>
      </c>
      <c r="D350" s="4" t="s">
        <v>182</v>
      </c>
      <c r="E350" s="4" t="s">
        <v>19</v>
      </c>
      <c r="F350" s="4" t="n">
        <v>2</v>
      </c>
      <c r="G350" s="4" t="n">
        <v>0</v>
      </c>
      <c r="H350" s="4" t="n">
        <v>6</v>
      </c>
      <c r="I350" s="4" t="n">
        <v>2</v>
      </c>
      <c r="J350" s="4" t="n">
        <f aca="false">G350+I350</f>
        <v>2</v>
      </c>
      <c r="K350" s="4" t="n">
        <f aca="false">IF(H350&lt;=0,"",ROUND(J350/(H350/45),0))</f>
        <v>15</v>
      </c>
    </row>
    <row r="351" customFormat="false" ht="15" hidden="false" customHeight="false" outlineLevel="0" collapsed="false">
      <c r="A351" s="4" t="s">
        <v>219</v>
      </c>
      <c r="B351" s="4" t="s">
        <v>220</v>
      </c>
      <c r="C351" s="4" t="s">
        <v>221</v>
      </c>
      <c r="D351" s="4" t="s">
        <v>31</v>
      </c>
      <c r="E351" s="4" t="s">
        <v>19</v>
      </c>
      <c r="F351" s="4" t="n">
        <v>5</v>
      </c>
      <c r="G351" s="4" t="n">
        <v>5</v>
      </c>
      <c r="H351" s="4" t="n">
        <v>15</v>
      </c>
      <c r="I351" s="4" t="n">
        <v>2</v>
      </c>
      <c r="J351" s="4" t="n">
        <f aca="false">G351+I351</f>
        <v>7</v>
      </c>
      <c r="K351" s="4" t="n">
        <f aca="false">IF(H351&lt;=0,"",ROUND(J351/(H351/45),0))</f>
        <v>21</v>
      </c>
    </row>
    <row r="352" customFormat="false" ht="15" hidden="false" customHeight="false" outlineLevel="0" collapsed="false">
      <c r="A352" s="4" t="s">
        <v>219</v>
      </c>
      <c r="B352" s="4" t="s">
        <v>220</v>
      </c>
      <c r="C352" s="4" t="s">
        <v>221</v>
      </c>
      <c r="D352" s="4" t="s">
        <v>32</v>
      </c>
      <c r="E352" s="4" t="s">
        <v>19</v>
      </c>
      <c r="F352" s="4" t="n">
        <v>2</v>
      </c>
      <c r="G352" s="4" t="n">
        <v>0</v>
      </c>
      <c r="H352" s="4" t="n">
        <v>6</v>
      </c>
      <c r="I352" s="4" t="n">
        <v>2</v>
      </c>
      <c r="J352" s="4" t="n">
        <f aca="false">G352+I352</f>
        <v>2</v>
      </c>
      <c r="K352" s="4" t="n">
        <f aca="false">IF(H352&lt;=0,"",ROUND(J352/(H352/45),0))</f>
        <v>15</v>
      </c>
    </row>
    <row r="353" customFormat="false" ht="15" hidden="false" customHeight="false" outlineLevel="0" collapsed="false">
      <c r="A353" s="4" t="s">
        <v>219</v>
      </c>
      <c r="B353" s="4" t="s">
        <v>220</v>
      </c>
      <c r="C353" s="4" t="s">
        <v>221</v>
      </c>
      <c r="D353" s="4" t="s">
        <v>18</v>
      </c>
      <c r="E353" s="4" t="s">
        <v>19</v>
      </c>
      <c r="F353" s="4" t="n">
        <v>0</v>
      </c>
      <c r="G353" s="4" t="n">
        <v>0</v>
      </c>
      <c r="H353" s="4" t="n">
        <v>6</v>
      </c>
      <c r="I353" s="4" t="n">
        <v>2</v>
      </c>
      <c r="J353" s="4" t="n">
        <f aca="false">G353+I353</f>
        <v>2</v>
      </c>
      <c r="K353" s="4" t="n">
        <f aca="false">IF(H353&lt;=0,"",ROUND(J353/(H353/45),0))</f>
        <v>15</v>
      </c>
    </row>
    <row r="354" customFormat="false" ht="15" hidden="false" customHeight="false" outlineLevel="0" collapsed="false">
      <c r="A354" s="4" t="s">
        <v>222</v>
      </c>
      <c r="B354" s="4" t="s">
        <v>223</v>
      </c>
      <c r="C354" s="4" t="s">
        <v>224</v>
      </c>
      <c r="D354" s="4" t="s">
        <v>82</v>
      </c>
      <c r="E354" s="4" t="s">
        <v>19</v>
      </c>
      <c r="F354" s="4" t="n">
        <v>9</v>
      </c>
      <c r="G354" s="4" t="n">
        <v>0</v>
      </c>
      <c r="H354" s="4" t="n">
        <v>29.4</v>
      </c>
      <c r="I354" s="4" t="n">
        <v>9</v>
      </c>
      <c r="J354" s="4" t="n">
        <f aca="false">G354+I354</f>
        <v>9</v>
      </c>
      <c r="K354" s="4" t="n">
        <f aca="false">IF(H354&lt;=0,"",ROUND(J354/(H354/45),0))</f>
        <v>14</v>
      </c>
    </row>
    <row r="355" customFormat="false" ht="15" hidden="false" customHeight="false" outlineLevel="0" collapsed="false">
      <c r="A355" s="4" t="s">
        <v>222</v>
      </c>
      <c r="B355" s="4" t="s">
        <v>223</v>
      </c>
      <c r="C355" s="4" t="s">
        <v>224</v>
      </c>
      <c r="D355" s="4" t="s">
        <v>74</v>
      </c>
      <c r="E355" s="4" t="s">
        <v>19</v>
      </c>
      <c r="F355" s="4" t="n">
        <v>2</v>
      </c>
      <c r="G355" s="4" t="n">
        <v>0</v>
      </c>
      <c r="H355" s="4" t="n">
        <v>8.6</v>
      </c>
      <c r="I355" s="4" t="n">
        <v>3</v>
      </c>
      <c r="J355" s="4" t="n">
        <f aca="false">G355+I355</f>
        <v>3</v>
      </c>
      <c r="K355" s="4" t="n">
        <f aca="false">IF(H355&lt;=0,"",ROUND(J355/(H355/45),0))</f>
        <v>16</v>
      </c>
    </row>
    <row r="356" customFormat="false" ht="15" hidden="false" customHeight="false" outlineLevel="0" collapsed="false">
      <c r="A356" s="4" t="s">
        <v>222</v>
      </c>
      <c r="B356" s="4" t="s">
        <v>223</v>
      </c>
      <c r="C356" s="4" t="s">
        <v>224</v>
      </c>
      <c r="D356" s="4" t="s">
        <v>30</v>
      </c>
      <c r="E356" s="4" t="s">
        <v>19</v>
      </c>
      <c r="F356" s="4" t="n">
        <v>9</v>
      </c>
      <c r="G356" s="4" t="n">
        <v>0</v>
      </c>
      <c r="H356" s="4" t="n">
        <v>31.4</v>
      </c>
      <c r="I356" s="4" t="n">
        <v>10</v>
      </c>
      <c r="J356" s="4" t="n">
        <f aca="false">G356+I356</f>
        <v>10</v>
      </c>
      <c r="K356" s="4" t="n">
        <f aca="false">IF(H356&lt;=0,"",ROUND(J356/(H356/45),0))</f>
        <v>14</v>
      </c>
    </row>
    <row r="357" customFormat="false" ht="15" hidden="false" customHeight="false" outlineLevel="0" collapsed="false">
      <c r="A357" s="4" t="s">
        <v>222</v>
      </c>
      <c r="B357" s="4" t="s">
        <v>223</v>
      </c>
      <c r="C357" s="4" t="s">
        <v>224</v>
      </c>
      <c r="D357" s="4" t="s">
        <v>31</v>
      </c>
      <c r="E357" s="4" t="s">
        <v>19</v>
      </c>
      <c r="F357" s="4" t="n">
        <v>21</v>
      </c>
      <c r="G357" s="4" t="n">
        <v>6</v>
      </c>
      <c r="H357" s="4" t="n">
        <v>65.1</v>
      </c>
      <c r="I357" s="4" t="n">
        <v>2</v>
      </c>
      <c r="J357" s="4" t="n">
        <f aca="false">G357+I357</f>
        <v>8</v>
      </c>
      <c r="K357" s="4" t="n">
        <f aca="false">IF(H357&lt;=0,"",ROUND(J357/(H357/45),0))</f>
        <v>6</v>
      </c>
    </row>
    <row r="358" customFormat="false" ht="15" hidden="false" customHeight="false" outlineLevel="0" collapsed="false">
      <c r="A358" s="4" t="s">
        <v>222</v>
      </c>
      <c r="B358" s="4" t="s">
        <v>223</v>
      </c>
      <c r="C358" s="4" t="s">
        <v>224</v>
      </c>
      <c r="D358" s="4" t="s">
        <v>76</v>
      </c>
      <c r="E358" s="4" t="s">
        <v>19</v>
      </c>
      <c r="F358" s="4" t="n">
        <v>5</v>
      </c>
      <c r="G358" s="4" t="n">
        <v>0</v>
      </c>
      <c r="H358" s="4" t="n">
        <v>15</v>
      </c>
      <c r="I358" s="4" t="n">
        <v>5</v>
      </c>
      <c r="J358" s="4" t="n">
        <f aca="false">G358+I358</f>
        <v>5</v>
      </c>
      <c r="K358" s="4" t="n">
        <f aca="false">IF(H358&lt;=0,"",ROUND(J358/(H358/45),0))</f>
        <v>15</v>
      </c>
    </row>
    <row r="359" customFormat="false" ht="15" hidden="false" customHeight="false" outlineLevel="0" collapsed="false">
      <c r="A359" s="3" t="s">
        <v>222</v>
      </c>
      <c r="B359" s="3" t="s">
        <v>223</v>
      </c>
      <c r="C359" s="3" t="s">
        <v>224</v>
      </c>
      <c r="D359" s="3" t="s">
        <v>15</v>
      </c>
      <c r="E359" s="3" t="s">
        <v>16</v>
      </c>
      <c r="F359" s="3" t="s">
        <v>17</v>
      </c>
      <c r="G359" s="3" t="s">
        <v>17</v>
      </c>
      <c r="H359" s="3" t="s">
        <v>17</v>
      </c>
      <c r="I359" s="3" t="n">
        <v>34</v>
      </c>
      <c r="J359" s="3" t="s">
        <v>17</v>
      </c>
      <c r="K359" s="3" t="s">
        <v>17</v>
      </c>
    </row>
    <row r="360" customFormat="false" ht="15" hidden="false" customHeight="false" outlineLevel="0" collapsed="false">
      <c r="A360" s="4" t="s">
        <v>222</v>
      </c>
      <c r="B360" s="4" t="s">
        <v>223</v>
      </c>
      <c r="C360" s="4" t="s">
        <v>224</v>
      </c>
      <c r="D360" s="4" t="s">
        <v>32</v>
      </c>
      <c r="E360" s="4" t="s">
        <v>19</v>
      </c>
      <c r="F360" s="4" t="n">
        <v>0</v>
      </c>
      <c r="G360" s="4" t="n">
        <v>0</v>
      </c>
      <c r="H360" s="4" t="n">
        <v>7.4</v>
      </c>
      <c r="I360" s="4" t="n">
        <v>2</v>
      </c>
      <c r="J360" s="4" t="n">
        <f aca="false">G360+I360</f>
        <v>2</v>
      </c>
      <c r="K360" s="4" t="n">
        <f aca="false">IF(H360&lt;=0,"",ROUND(J360/(H360/45),0))</f>
        <v>12</v>
      </c>
    </row>
    <row r="361" customFormat="false" ht="15" hidden="false" customHeight="false" outlineLevel="0" collapsed="false">
      <c r="A361" s="3" t="s">
        <v>222</v>
      </c>
      <c r="B361" s="3" t="s">
        <v>223</v>
      </c>
      <c r="C361" s="3" t="s">
        <v>224</v>
      </c>
      <c r="D361" s="3" t="s">
        <v>33</v>
      </c>
      <c r="E361" s="3" t="s">
        <v>16</v>
      </c>
      <c r="F361" s="3" t="s">
        <v>17</v>
      </c>
      <c r="G361" s="3" t="s">
        <v>17</v>
      </c>
      <c r="H361" s="3" t="s">
        <v>17</v>
      </c>
      <c r="I361" s="3" t="n">
        <v>16</v>
      </c>
      <c r="J361" s="3" t="s">
        <v>17</v>
      </c>
      <c r="K361" s="3" t="s">
        <v>17</v>
      </c>
    </row>
    <row r="362" customFormat="false" ht="15" hidden="false" customHeight="false" outlineLevel="0" collapsed="false">
      <c r="A362" s="4" t="s">
        <v>222</v>
      </c>
      <c r="B362" s="4" t="s">
        <v>223</v>
      </c>
      <c r="C362" s="4" t="s">
        <v>224</v>
      </c>
      <c r="D362" s="4" t="s">
        <v>66</v>
      </c>
      <c r="E362" s="4" t="s">
        <v>19</v>
      </c>
      <c r="F362" s="4" t="n">
        <v>3</v>
      </c>
      <c r="G362" s="4" t="n">
        <v>0</v>
      </c>
      <c r="H362" s="4" t="n">
        <v>15.8</v>
      </c>
      <c r="I362" s="4" t="n">
        <v>5</v>
      </c>
      <c r="J362" s="4" t="n">
        <f aca="false">G362+I362</f>
        <v>5</v>
      </c>
      <c r="K362" s="4" t="n">
        <f aca="false">IF(H362&lt;=0,"",ROUND(J362/(H362/45),0))</f>
        <v>14</v>
      </c>
    </row>
    <row r="363" customFormat="false" ht="15" hidden="false" customHeight="false" outlineLevel="0" collapsed="false">
      <c r="A363" s="4" t="s">
        <v>222</v>
      </c>
      <c r="B363" s="4" t="s">
        <v>223</v>
      </c>
      <c r="C363" s="4" t="s">
        <v>224</v>
      </c>
      <c r="D363" s="4" t="s">
        <v>34</v>
      </c>
      <c r="E363" s="4" t="s">
        <v>19</v>
      </c>
      <c r="F363" s="4" t="n">
        <v>0</v>
      </c>
      <c r="G363" s="4" t="n">
        <v>0</v>
      </c>
      <c r="H363" s="4" t="n">
        <v>6.2</v>
      </c>
      <c r="I363" s="4" t="n">
        <v>2</v>
      </c>
      <c r="J363" s="4" t="n">
        <f aca="false">G363+I363</f>
        <v>2</v>
      </c>
      <c r="K363" s="4" t="n">
        <f aca="false">IF(H363&lt;=0,"",ROUND(J363/(H363/45),0))</f>
        <v>15</v>
      </c>
    </row>
    <row r="364" customFormat="false" ht="15" hidden="false" customHeight="false" outlineLevel="0" collapsed="false">
      <c r="A364" s="4" t="s">
        <v>222</v>
      </c>
      <c r="B364" s="4" t="s">
        <v>223</v>
      </c>
      <c r="C364" s="4" t="s">
        <v>224</v>
      </c>
      <c r="D364" s="4" t="s">
        <v>53</v>
      </c>
      <c r="E364" s="4" t="s">
        <v>19</v>
      </c>
      <c r="F364" s="4" t="n">
        <v>0</v>
      </c>
      <c r="G364" s="4" t="n">
        <v>0</v>
      </c>
      <c r="H364" s="4" t="n">
        <v>8.4</v>
      </c>
      <c r="I364" s="4" t="n">
        <v>3</v>
      </c>
      <c r="J364" s="4" t="n">
        <f aca="false">G364+I364</f>
        <v>3</v>
      </c>
      <c r="K364" s="4" t="n">
        <f aca="false">IF(H364&lt;=0,"",ROUND(J364/(H364/45),0))</f>
        <v>16</v>
      </c>
    </row>
    <row r="365" customFormat="false" ht="15" hidden="false" customHeight="false" outlineLevel="0" collapsed="false">
      <c r="A365" s="4" t="s">
        <v>222</v>
      </c>
      <c r="B365" s="4" t="s">
        <v>223</v>
      </c>
      <c r="C365" s="4" t="s">
        <v>224</v>
      </c>
      <c r="D365" s="4" t="s">
        <v>18</v>
      </c>
      <c r="E365" s="4" t="s">
        <v>19</v>
      </c>
      <c r="F365" s="4" t="n">
        <v>6</v>
      </c>
      <c r="G365" s="4" t="n">
        <v>0</v>
      </c>
      <c r="H365" s="4" t="n">
        <v>28.6</v>
      </c>
      <c r="I365" s="4" t="n">
        <v>2</v>
      </c>
      <c r="J365" s="4" t="n">
        <f aca="false">G365+I365</f>
        <v>2</v>
      </c>
      <c r="K365" s="4" t="n">
        <f aca="false">IF(H365&lt;=0,"",ROUND(J365/(H365/45),0))</f>
        <v>3</v>
      </c>
    </row>
    <row r="366" customFormat="false" ht="15" hidden="false" customHeight="false" outlineLevel="0" collapsed="false">
      <c r="A366" s="4" t="s">
        <v>222</v>
      </c>
      <c r="B366" s="4" t="s">
        <v>223</v>
      </c>
      <c r="C366" s="4" t="s">
        <v>224</v>
      </c>
      <c r="D366" s="4" t="s">
        <v>39</v>
      </c>
      <c r="E366" s="4" t="s">
        <v>19</v>
      </c>
      <c r="F366" s="4" t="n">
        <v>18</v>
      </c>
      <c r="G366" s="4" t="n">
        <v>0</v>
      </c>
      <c r="H366" s="4" t="n">
        <v>63.3</v>
      </c>
      <c r="I366" s="4" t="n">
        <v>19</v>
      </c>
      <c r="J366" s="4" t="n">
        <f aca="false">G366+I366</f>
        <v>19</v>
      </c>
      <c r="K366" s="4" t="n">
        <f aca="false">IF(H366&lt;=0,"",ROUND(J366/(H366/45),0))</f>
        <v>14</v>
      </c>
    </row>
    <row r="367" customFormat="false" ht="15" hidden="false" customHeight="false" outlineLevel="0" collapsed="false">
      <c r="A367" s="4" t="s">
        <v>222</v>
      </c>
      <c r="B367" s="4" t="s">
        <v>223</v>
      </c>
      <c r="C367" s="4" t="s">
        <v>224</v>
      </c>
      <c r="D367" s="4" t="s">
        <v>70</v>
      </c>
      <c r="E367" s="4" t="s">
        <v>19</v>
      </c>
      <c r="F367" s="4" t="n">
        <v>47</v>
      </c>
      <c r="G367" s="4" t="n">
        <v>20</v>
      </c>
      <c r="H367" s="4" t="n">
        <v>141</v>
      </c>
      <c r="I367" s="4" t="n">
        <v>37</v>
      </c>
      <c r="J367" s="4" t="n">
        <f aca="false">G367+I367</f>
        <v>57</v>
      </c>
      <c r="K367" s="4" t="n">
        <f aca="false">IF(H367&lt;=0,"",ROUND(J367/(H367/45),0))</f>
        <v>18</v>
      </c>
    </row>
    <row r="368" customFormat="false" ht="15" hidden="false" customHeight="false" outlineLevel="0" collapsed="false">
      <c r="A368" s="4" t="s">
        <v>222</v>
      </c>
      <c r="B368" s="4" t="s">
        <v>223</v>
      </c>
      <c r="C368" s="4" t="s">
        <v>224</v>
      </c>
      <c r="D368" s="4" t="s">
        <v>40</v>
      </c>
      <c r="E368" s="4" t="s">
        <v>19</v>
      </c>
      <c r="F368" s="4" t="n">
        <v>0</v>
      </c>
      <c r="G368" s="4" t="n">
        <v>0</v>
      </c>
      <c r="H368" s="4" t="n">
        <v>7.2</v>
      </c>
      <c r="I368" s="4" t="n">
        <v>2</v>
      </c>
      <c r="J368" s="4" t="n">
        <f aca="false">G368+I368</f>
        <v>2</v>
      </c>
      <c r="K368" s="4" t="n">
        <f aca="false">IF(H368&lt;=0,"",ROUND(J368/(H368/45),0))</f>
        <v>13</v>
      </c>
    </row>
    <row r="369" customFormat="false" ht="15" hidden="false" customHeight="false" outlineLevel="0" collapsed="false">
      <c r="A369" s="4" t="s">
        <v>225</v>
      </c>
      <c r="B369" s="4" t="s">
        <v>226</v>
      </c>
      <c r="C369" s="4" t="s">
        <v>227</v>
      </c>
      <c r="D369" s="4" t="s">
        <v>74</v>
      </c>
      <c r="E369" s="4" t="s">
        <v>19</v>
      </c>
      <c r="F369" s="4" t="n">
        <v>6</v>
      </c>
      <c r="G369" s="4" t="n">
        <v>4</v>
      </c>
      <c r="H369" s="4" t="n">
        <v>18</v>
      </c>
      <c r="I369" s="4" t="n">
        <v>2</v>
      </c>
      <c r="J369" s="4" t="n">
        <f aca="false">G369+I369</f>
        <v>6</v>
      </c>
      <c r="K369" s="4" t="n">
        <f aca="false">IF(H369&lt;=0,"",ROUND(J369/(H369/45),0))</f>
        <v>15</v>
      </c>
    </row>
    <row r="370" customFormat="false" ht="15" hidden="false" customHeight="false" outlineLevel="0" collapsed="false">
      <c r="A370" s="4" t="s">
        <v>225</v>
      </c>
      <c r="B370" s="4" t="s">
        <v>226</v>
      </c>
      <c r="C370" s="4" t="s">
        <v>227</v>
      </c>
      <c r="D370" s="4" t="s">
        <v>30</v>
      </c>
      <c r="E370" s="4" t="s">
        <v>19</v>
      </c>
      <c r="F370" s="4" t="n">
        <v>3</v>
      </c>
      <c r="G370" s="4" t="n">
        <v>3</v>
      </c>
      <c r="H370" s="4" t="n">
        <v>12.8</v>
      </c>
      <c r="I370" s="4" t="n">
        <v>8</v>
      </c>
      <c r="J370" s="4" t="n">
        <f aca="false">G370+I370</f>
        <v>11</v>
      </c>
      <c r="K370" s="4" t="n">
        <f aca="false">IF(H370&lt;=0,"",ROUND(J370/(H370/45),0))</f>
        <v>39</v>
      </c>
    </row>
    <row r="371" customFormat="false" ht="15" hidden="false" customHeight="false" outlineLevel="0" collapsed="false">
      <c r="A371" s="3" t="s">
        <v>225</v>
      </c>
      <c r="B371" s="3" t="s">
        <v>226</v>
      </c>
      <c r="C371" s="3" t="s">
        <v>227</v>
      </c>
      <c r="D371" s="3" t="s">
        <v>15</v>
      </c>
      <c r="E371" s="3" t="s">
        <v>16</v>
      </c>
      <c r="F371" s="3" t="s">
        <v>17</v>
      </c>
      <c r="G371" s="3" t="s">
        <v>17</v>
      </c>
      <c r="H371" s="3" t="s">
        <v>17</v>
      </c>
      <c r="I371" s="3" t="n">
        <v>6</v>
      </c>
      <c r="J371" s="3" t="s">
        <v>17</v>
      </c>
      <c r="K371" s="3" t="s">
        <v>17</v>
      </c>
    </row>
    <row r="372" customFormat="false" ht="15" hidden="false" customHeight="false" outlineLevel="0" collapsed="false">
      <c r="A372" s="3" t="s">
        <v>225</v>
      </c>
      <c r="B372" s="3" t="s">
        <v>226</v>
      </c>
      <c r="C372" s="3" t="s">
        <v>227</v>
      </c>
      <c r="D372" s="3" t="s">
        <v>33</v>
      </c>
      <c r="E372" s="3" t="s">
        <v>16</v>
      </c>
      <c r="F372" s="3" t="s">
        <v>17</v>
      </c>
      <c r="G372" s="3" t="s">
        <v>17</v>
      </c>
      <c r="H372" s="3" t="s">
        <v>17</v>
      </c>
      <c r="I372" s="3" t="n">
        <v>3</v>
      </c>
      <c r="J372" s="3" t="s">
        <v>17</v>
      </c>
      <c r="K372" s="3" t="s">
        <v>17</v>
      </c>
    </row>
    <row r="373" customFormat="false" ht="15" hidden="false" customHeight="false" outlineLevel="0" collapsed="false">
      <c r="A373" s="4" t="s">
        <v>225</v>
      </c>
      <c r="B373" s="4" t="s">
        <v>226</v>
      </c>
      <c r="C373" s="4" t="s">
        <v>227</v>
      </c>
      <c r="D373" s="4" t="s">
        <v>53</v>
      </c>
      <c r="E373" s="4" t="s">
        <v>19</v>
      </c>
      <c r="F373" s="4" t="n">
        <v>1</v>
      </c>
      <c r="G373" s="4" t="n">
        <v>0</v>
      </c>
      <c r="H373" s="4" t="n">
        <v>6.3</v>
      </c>
      <c r="I373" s="4" t="n">
        <v>5</v>
      </c>
      <c r="J373" s="4" t="n">
        <f aca="false">G373+I373</f>
        <v>5</v>
      </c>
      <c r="K373" s="4" t="n">
        <f aca="false">IF(H373&lt;=0,"",ROUND(J373/(H373/45),0))</f>
        <v>36</v>
      </c>
    </row>
    <row r="374" customFormat="false" ht="15" hidden="false" customHeight="false" outlineLevel="0" collapsed="false">
      <c r="A374" s="4" t="s">
        <v>225</v>
      </c>
      <c r="B374" s="4" t="s">
        <v>226</v>
      </c>
      <c r="C374" s="4" t="s">
        <v>227</v>
      </c>
      <c r="D374" s="4" t="s">
        <v>40</v>
      </c>
      <c r="E374" s="4" t="s">
        <v>19</v>
      </c>
      <c r="F374" s="4" t="n">
        <v>1</v>
      </c>
      <c r="G374" s="4" t="n">
        <v>0</v>
      </c>
      <c r="H374" s="4" t="n">
        <v>7.3</v>
      </c>
      <c r="I374" s="4" t="n">
        <v>6</v>
      </c>
      <c r="J374" s="4" t="n">
        <f aca="false">G374+I374</f>
        <v>6</v>
      </c>
      <c r="K374" s="4" t="n">
        <f aca="false">IF(H374&lt;=0,"",ROUND(J374/(H374/45),0))</f>
        <v>37</v>
      </c>
    </row>
    <row r="375" customFormat="false" ht="15" hidden="false" customHeight="false" outlineLevel="0" collapsed="false">
      <c r="A375" s="4" t="s">
        <v>228</v>
      </c>
      <c r="B375" s="4" t="s">
        <v>229</v>
      </c>
      <c r="C375" s="4" t="s">
        <v>230</v>
      </c>
      <c r="D375" s="4" t="s">
        <v>82</v>
      </c>
      <c r="E375" s="4" t="s">
        <v>19</v>
      </c>
      <c r="F375" s="4" t="n">
        <v>3</v>
      </c>
      <c r="G375" s="4" t="n">
        <v>1</v>
      </c>
      <c r="H375" s="4" t="n">
        <v>13.5</v>
      </c>
      <c r="I375" s="4" t="n">
        <v>10</v>
      </c>
      <c r="J375" s="4" t="n">
        <f aca="false">G375+I375</f>
        <v>11</v>
      </c>
      <c r="K375" s="4" t="n">
        <f aca="false">IF(H375&lt;=0,"",ROUND(J375/(H375/45),0))</f>
        <v>37</v>
      </c>
    </row>
    <row r="376" customFormat="false" ht="15" hidden="false" customHeight="false" outlineLevel="0" collapsed="false">
      <c r="A376" s="4" t="s">
        <v>228</v>
      </c>
      <c r="B376" s="4" t="s">
        <v>229</v>
      </c>
      <c r="C376" s="4" t="s">
        <v>230</v>
      </c>
      <c r="D376" s="4" t="s">
        <v>29</v>
      </c>
      <c r="E376" s="4" t="s">
        <v>19</v>
      </c>
      <c r="F376" s="4" t="n">
        <v>1</v>
      </c>
      <c r="G376" s="4" t="n">
        <v>0</v>
      </c>
      <c r="H376" s="4" t="n">
        <v>7</v>
      </c>
      <c r="I376" s="4" t="n">
        <v>6</v>
      </c>
      <c r="J376" s="4" t="n">
        <f aca="false">G376+I376</f>
        <v>6</v>
      </c>
      <c r="K376" s="4" t="n">
        <f aca="false">IF(H376&lt;=0,"",ROUND(J376/(H376/45),0))</f>
        <v>39</v>
      </c>
    </row>
    <row r="377" customFormat="false" ht="15" hidden="false" customHeight="false" outlineLevel="0" collapsed="false">
      <c r="A377" s="4" t="s">
        <v>228</v>
      </c>
      <c r="B377" s="4" t="s">
        <v>229</v>
      </c>
      <c r="C377" s="4" t="s">
        <v>230</v>
      </c>
      <c r="D377" s="4" t="s">
        <v>74</v>
      </c>
      <c r="E377" s="4" t="s">
        <v>19</v>
      </c>
      <c r="F377" s="4" t="n">
        <v>0</v>
      </c>
      <c r="G377" s="4" t="n">
        <v>0</v>
      </c>
      <c r="H377" s="4" t="n">
        <v>9.1</v>
      </c>
      <c r="I377" s="4" t="n">
        <v>7</v>
      </c>
      <c r="J377" s="4" t="n">
        <f aca="false">G377+I377</f>
        <v>7</v>
      </c>
      <c r="K377" s="4" t="n">
        <f aca="false">IF(H377&lt;=0,"",ROUND(J377/(H377/45),0))</f>
        <v>35</v>
      </c>
    </row>
    <row r="378" customFormat="false" ht="15" hidden="false" customHeight="false" outlineLevel="0" collapsed="false">
      <c r="A378" s="4" t="s">
        <v>228</v>
      </c>
      <c r="B378" s="4" t="s">
        <v>229</v>
      </c>
      <c r="C378" s="4" t="s">
        <v>230</v>
      </c>
      <c r="D378" s="4" t="s">
        <v>30</v>
      </c>
      <c r="E378" s="4" t="s">
        <v>19</v>
      </c>
      <c r="F378" s="4" t="n">
        <v>0</v>
      </c>
      <c r="G378" s="4" t="n">
        <v>0</v>
      </c>
      <c r="H378" s="4" t="n">
        <v>15</v>
      </c>
      <c r="I378" s="4" t="n">
        <v>12</v>
      </c>
      <c r="J378" s="4" t="n">
        <f aca="false">G378+I378</f>
        <v>12</v>
      </c>
      <c r="K378" s="4" t="n">
        <f aca="false">IF(H378&lt;=0,"",ROUND(J378/(H378/45),0))</f>
        <v>36</v>
      </c>
    </row>
    <row r="379" customFormat="false" ht="15" hidden="false" customHeight="false" outlineLevel="0" collapsed="false">
      <c r="A379" s="4" t="s">
        <v>228</v>
      </c>
      <c r="B379" s="4" t="s">
        <v>229</v>
      </c>
      <c r="C379" s="4" t="s">
        <v>230</v>
      </c>
      <c r="D379" s="4" t="s">
        <v>182</v>
      </c>
      <c r="E379" s="4" t="s">
        <v>19</v>
      </c>
      <c r="F379" s="4" t="n">
        <v>1</v>
      </c>
      <c r="G379" s="4" t="n">
        <v>0</v>
      </c>
      <c r="H379" s="4" t="n">
        <v>7.7</v>
      </c>
      <c r="I379" s="4" t="n">
        <v>2</v>
      </c>
      <c r="J379" s="4" t="n">
        <f aca="false">G379+I379</f>
        <v>2</v>
      </c>
      <c r="K379" s="4" t="n">
        <f aca="false">IF(H379&lt;=0,"",ROUND(J379/(H379/45),0))</f>
        <v>12</v>
      </c>
    </row>
    <row r="380" customFormat="false" ht="15" hidden="false" customHeight="false" outlineLevel="0" collapsed="false">
      <c r="A380" s="4" t="s">
        <v>228</v>
      </c>
      <c r="B380" s="4" t="s">
        <v>229</v>
      </c>
      <c r="C380" s="4" t="s">
        <v>230</v>
      </c>
      <c r="D380" s="4" t="s">
        <v>31</v>
      </c>
      <c r="E380" s="4" t="s">
        <v>19</v>
      </c>
      <c r="F380" s="4" t="n">
        <v>2</v>
      </c>
      <c r="G380" s="4" t="n">
        <v>0</v>
      </c>
      <c r="H380" s="4" t="n">
        <v>15.4</v>
      </c>
      <c r="I380" s="4" t="n">
        <v>2</v>
      </c>
      <c r="J380" s="4" t="n">
        <f aca="false">G380+I380</f>
        <v>2</v>
      </c>
      <c r="K380" s="4" t="n">
        <f aca="false">IF(H380&lt;=0,"",ROUND(J380/(H380/45),0))</f>
        <v>6</v>
      </c>
    </row>
    <row r="381" customFormat="false" ht="15" hidden="false" customHeight="false" outlineLevel="0" collapsed="false">
      <c r="A381" s="4" t="s">
        <v>228</v>
      </c>
      <c r="B381" s="4" t="s">
        <v>229</v>
      </c>
      <c r="C381" s="4" t="s">
        <v>230</v>
      </c>
      <c r="D381" s="4" t="s">
        <v>76</v>
      </c>
      <c r="E381" s="4" t="s">
        <v>19</v>
      </c>
      <c r="F381" s="4" t="n">
        <v>1</v>
      </c>
      <c r="G381" s="4" t="n">
        <v>0</v>
      </c>
      <c r="H381" s="4" t="n">
        <v>7.6</v>
      </c>
      <c r="I381" s="4" t="n">
        <v>6</v>
      </c>
      <c r="J381" s="4" t="n">
        <f aca="false">G381+I381</f>
        <v>6</v>
      </c>
      <c r="K381" s="4" t="n">
        <f aca="false">IF(H381&lt;=0,"",ROUND(J381/(H381/45),0))</f>
        <v>36</v>
      </c>
    </row>
    <row r="382" customFormat="false" ht="15" hidden="false" customHeight="false" outlineLevel="0" collapsed="false">
      <c r="A382" s="3" t="s">
        <v>228</v>
      </c>
      <c r="B382" s="3" t="s">
        <v>229</v>
      </c>
      <c r="C382" s="3" t="s">
        <v>230</v>
      </c>
      <c r="D382" s="3" t="s">
        <v>15</v>
      </c>
      <c r="E382" s="3" t="s">
        <v>16</v>
      </c>
      <c r="F382" s="3" t="s">
        <v>17</v>
      </c>
      <c r="G382" s="3" t="s">
        <v>17</v>
      </c>
      <c r="H382" s="3" t="s">
        <v>17</v>
      </c>
      <c r="I382" s="3" t="n">
        <v>58</v>
      </c>
      <c r="J382" s="3" t="s">
        <v>17</v>
      </c>
      <c r="K382" s="3" t="s">
        <v>17</v>
      </c>
    </row>
    <row r="383" customFormat="false" ht="15" hidden="false" customHeight="false" outlineLevel="0" collapsed="false">
      <c r="A383" s="4" t="s">
        <v>228</v>
      </c>
      <c r="B383" s="4" t="s">
        <v>229</v>
      </c>
      <c r="C383" s="4" t="s">
        <v>230</v>
      </c>
      <c r="D383" s="4" t="s">
        <v>32</v>
      </c>
      <c r="E383" s="4" t="s">
        <v>19</v>
      </c>
      <c r="F383" s="4" t="n">
        <v>0</v>
      </c>
      <c r="G383" s="4" t="n">
        <v>0</v>
      </c>
      <c r="H383" s="4" t="n">
        <v>9.9</v>
      </c>
      <c r="I383" s="4" t="n">
        <v>8</v>
      </c>
      <c r="J383" s="4" t="n">
        <f aca="false">G383+I383</f>
        <v>8</v>
      </c>
      <c r="K383" s="4" t="n">
        <f aca="false">IF(H383&lt;=0,"",ROUND(J383/(H383/45),0))</f>
        <v>36</v>
      </c>
    </row>
    <row r="384" customFormat="false" ht="15" hidden="false" customHeight="false" outlineLevel="0" collapsed="false">
      <c r="A384" s="3" t="s">
        <v>228</v>
      </c>
      <c r="B384" s="3" t="s">
        <v>229</v>
      </c>
      <c r="C384" s="3" t="s">
        <v>230</v>
      </c>
      <c r="D384" s="3" t="s">
        <v>33</v>
      </c>
      <c r="E384" s="3" t="s">
        <v>16</v>
      </c>
      <c r="F384" s="3" t="s">
        <v>17</v>
      </c>
      <c r="G384" s="3" t="s">
        <v>17</v>
      </c>
      <c r="H384" s="3" t="s">
        <v>17</v>
      </c>
      <c r="I384" s="3" t="n">
        <v>26</v>
      </c>
      <c r="J384" s="3" t="s">
        <v>17</v>
      </c>
      <c r="K384" s="3" t="s">
        <v>17</v>
      </c>
    </row>
    <row r="385" customFormat="false" ht="15" hidden="false" customHeight="false" outlineLevel="0" collapsed="false">
      <c r="A385" s="4" t="s">
        <v>228</v>
      </c>
      <c r="B385" s="4" t="s">
        <v>229</v>
      </c>
      <c r="C385" s="4" t="s">
        <v>230</v>
      </c>
      <c r="D385" s="4" t="s">
        <v>66</v>
      </c>
      <c r="E385" s="4" t="s">
        <v>19</v>
      </c>
      <c r="F385" s="4" t="n">
        <v>0</v>
      </c>
      <c r="G385" s="4" t="n">
        <v>1</v>
      </c>
      <c r="H385" s="4" t="n">
        <v>8.8</v>
      </c>
      <c r="I385" s="4" t="n">
        <v>6</v>
      </c>
      <c r="J385" s="4" t="n">
        <f aca="false">G385+I385</f>
        <v>7</v>
      </c>
      <c r="K385" s="4" t="n">
        <f aca="false">IF(H385&lt;=0,"",ROUND(J385/(H385/45),0))</f>
        <v>36</v>
      </c>
    </row>
    <row r="386" customFormat="false" ht="15" hidden="false" customHeight="false" outlineLevel="0" collapsed="false">
      <c r="A386" s="4" t="s">
        <v>228</v>
      </c>
      <c r="B386" s="4" t="s">
        <v>229</v>
      </c>
      <c r="C386" s="4" t="s">
        <v>230</v>
      </c>
      <c r="D386" s="4" t="s">
        <v>34</v>
      </c>
      <c r="E386" s="4" t="s">
        <v>19</v>
      </c>
      <c r="F386" s="4" t="n">
        <v>15</v>
      </c>
      <c r="G386" s="4" t="n">
        <v>0</v>
      </c>
      <c r="H386" s="4" t="n">
        <v>53.6</v>
      </c>
      <c r="I386" s="4" t="n">
        <v>43</v>
      </c>
      <c r="J386" s="4" t="n">
        <f aca="false">G386+I386</f>
        <v>43</v>
      </c>
      <c r="K386" s="4" t="n">
        <f aca="false">IF(H386&lt;=0,"",ROUND(J386/(H386/45),0))</f>
        <v>36</v>
      </c>
    </row>
    <row r="387" customFormat="false" ht="15" hidden="false" customHeight="false" outlineLevel="0" collapsed="false">
      <c r="A387" s="4" t="s">
        <v>228</v>
      </c>
      <c r="B387" s="4" t="s">
        <v>229</v>
      </c>
      <c r="C387" s="4" t="s">
        <v>230</v>
      </c>
      <c r="D387" s="4" t="s">
        <v>53</v>
      </c>
      <c r="E387" s="4" t="s">
        <v>19</v>
      </c>
      <c r="F387" s="4" t="n">
        <v>1</v>
      </c>
      <c r="G387" s="4" t="n">
        <v>0</v>
      </c>
      <c r="H387" s="4" t="n">
        <v>13.4</v>
      </c>
      <c r="I387" s="4" t="n">
        <v>11</v>
      </c>
      <c r="J387" s="4" t="n">
        <f aca="false">G387+I387</f>
        <v>11</v>
      </c>
      <c r="K387" s="4" t="n">
        <f aca="false">IF(H387&lt;=0,"",ROUND(J387/(H387/45),0))</f>
        <v>37</v>
      </c>
    </row>
    <row r="388" customFormat="false" ht="15" hidden="false" customHeight="false" outlineLevel="0" collapsed="false">
      <c r="A388" s="4" t="s">
        <v>228</v>
      </c>
      <c r="B388" s="4" t="s">
        <v>229</v>
      </c>
      <c r="C388" s="4" t="s">
        <v>230</v>
      </c>
      <c r="D388" s="4" t="s">
        <v>35</v>
      </c>
      <c r="E388" s="4" t="s">
        <v>19</v>
      </c>
      <c r="F388" s="4" t="n">
        <v>5</v>
      </c>
      <c r="G388" s="4" t="n">
        <v>0</v>
      </c>
      <c r="H388" s="4" t="n">
        <v>21.5</v>
      </c>
      <c r="I388" s="4" t="n">
        <v>17</v>
      </c>
      <c r="J388" s="4" t="n">
        <f aca="false">G388+I388</f>
        <v>17</v>
      </c>
      <c r="K388" s="4" t="n">
        <f aca="false">IF(H388&lt;=0,"",ROUND(J388/(H388/45),0))</f>
        <v>36</v>
      </c>
    </row>
    <row r="389" customFormat="false" ht="15" hidden="false" customHeight="false" outlineLevel="0" collapsed="false">
      <c r="A389" s="4" t="s">
        <v>228</v>
      </c>
      <c r="B389" s="4" t="s">
        <v>229</v>
      </c>
      <c r="C389" s="4" t="s">
        <v>230</v>
      </c>
      <c r="D389" s="4" t="s">
        <v>78</v>
      </c>
      <c r="E389" s="4" t="s">
        <v>19</v>
      </c>
      <c r="F389" s="4" t="n">
        <v>1</v>
      </c>
      <c r="G389" s="4" t="n">
        <v>0</v>
      </c>
      <c r="H389" s="4" t="n">
        <v>8</v>
      </c>
      <c r="I389" s="4" t="n">
        <v>6</v>
      </c>
      <c r="J389" s="4" t="n">
        <f aca="false">G389+I389</f>
        <v>6</v>
      </c>
      <c r="K389" s="4" t="n">
        <f aca="false">IF(H389&lt;=0,"",ROUND(J389/(H389/45),0))</f>
        <v>34</v>
      </c>
    </row>
    <row r="390" customFormat="false" ht="15" hidden="false" customHeight="false" outlineLevel="0" collapsed="false">
      <c r="A390" s="4" t="s">
        <v>228</v>
      </c>
      <c r="B390" s="4" t="s">
        <v>229</v>
      </c>
      <c r="C390" s="4" t="s">
        <v>230</v>
      </c>
      <c r="D390" s="4" t="s">
        <v>18</v>
      </c>
      <c r="E390" s="4" t="s">
        <v>19</v>
      </c>
      <c r="F390" s="4" t="n">
        <v>4</v>
      </c>
      <c r="G390" s="4" t="n">
        <v>0</v>
      </c>
      <c r="H390" s="4" t="n">
        <v>31.6</v>
      </c>
      <c r="I390" s="4" t="n">
        <v>2</v>
      </c>
      <c r="J390" s="4" t="n">
        <f aca="false">G390+I390</f>
        <v>2</v>
      </c>
      <c r="K390" s="4" t="n">
        <f aca="false">IF(H390&lt;=0,"",ROUND(J390/(H390/45),0))</f>
        <v>3</v>
      </c>
    </row>
    <row r="391" customFormat="false" ht="15" hidden="false" customHeight="false" outlineLevel="0" collapsed="false">
      <c r="A391" s="4" t="s">
        <v>228</v>
      </c>
      <c r="B391" s="4" t="s">
        <v>229</v>
      </c>
      <c r="C391" s="4" t="s">
        <v>230</v>
      </c>
      <c r="D391" s="4" t="s">
        <v>39</v>
      </c>
      <c r="E391" s="4" t="s">
        <v>19</v>
      </c>
      <c r="F391" s="4" t="n">
        <v>3</v>
      </c>
      <c r="G391" s="4" t="n">
        <v>0</v>
      </c>
      <c r="H391" s="4" t="n">
        <v>21.1</v>
      </c>
      <c r="I391" s="4" t="n">
        <v>17</v>
      </c>
      <c r="J391" s="4" t="n">
        <f aca="false">G391+I391</f>
        <v>17</v>
      </c>
      <c r="K391" s="4" t="n">
        <f aca="false">IF(H391&lt;=0,"",ROUND(J391/(H391/45),0))</f>
        <v>36</v>
      </c>
    </row>
    <row r="392" customFormat="false" ht="15" hidden="false" customHeight="false" outlineLevel="0" collapsed="false">
      <c r="A392" s="4" t="s">
        <v>228</v>
      </c>
      <c r="B392" s="4" t="s">
        <v>229</v>
      </c>
      <c r="C392" s="4" t="s">
        <v>230</v>
      </c>
      <c r="D392" s="4" t="s">
        <v>70</v>
      </c>
      <c r="E392" s="4" t="s">
        <v>19</v>
      </c>
      <c r="F392" s="4" t="n">
        <v>1</v>
      </c>
      <c r="G392" s="4" t="n">
        <v>0</v>
      </c>
      <c r="H392" s="4" t="n">
        <v>12.9</v>
      </c>
      <c r="I392" s="4" t="n">
        <v>10</v>
      </c>
      <c r="J392" s="4" t="n">
        <f aca="false">G392+I392</f>
        <v>10</v>
      </c>
      <c r="K392" s="4" t="n">
        <f aca="false">IF(H392&lt;=0,"",ROUND(J392/(H392/45),0))</f>
        <v>35</v>
      </c>
    </row>
    <row r="393" customFormat="false" ht="15" hidden="false" customHeight="false" outlineLevel="0" collapsed="false">
      <c r="A393" s="4" t="s">
        <v>228</v>
      </c>
      <c r="B393" s="4" t="s">
        <v>229</v>
      </c>
      <c r="C393" s="4" t="s">
        <v>230</v>
      </c>
      <c r="D393" s="4" t="s">
        <v>40</v>
      </c>
      <c r="E393" s="4" t="s">
        <v>19</v>
      </c>
      <c r="F393" s="4" t="n">
        <v>1</v>
      </c>
      <c r="G393" s="4" t="n">
        <v>0</v>
      </c>
      <c r="H393" s="4" t="n">
        <v>18.4</v>
      </c>
      <c r="I393" s="4" t="n">
        <v>3</v>
      </c>
      <c r="J393" s="4" t="n">
        <f aca="false">G393+I393</f>
        <v>3</v>
      </c>
      <c r="K393" s="4" t="n">
        <f aca="false">IF(H393&lt;=0,"",ROUND(J393/(H393/45),0))</f>
        <v>7</v>
      </c>
    </row>
    <row r="394" customFormat="false" ht="15" hidden="false" customHeight="false" outlineLevel="0" collapsed="false">
      <c r="A394" s="4" t="s">
        <v>231</v>
      </c>
      <c r="B394" s="4" t="s">
        <v>232</v>
      </c>
      <c r="C394" s="4" t="s">
        <v>233</v>
      </c>
      <c r="D394" s="4" t="s">
        <v>182</v>
      </c>
      <c r="E394" s="4" t="s">
        <v>19</v>
      </c>
      <c r="F394" s="4" t="n">
        <v>4</v>
      </c>
      <c r="G394" s="4" t="n">
        <v>0</v>
      </c>
      <c r="H394" s="4" t="n">
        <v>12</v>
      </c>
      <c r="I394" s="4" t="n">
        <v>2</v>
      </c>
      <c r="J394" s="4" t="n">
        <f aca="false">G394+I394</f>
        <v>2</v>
      </c>
      <c r="K394" s="4" t="n">
        <f aca="false">IF(H394&lt;=0,"",ROUND(J394/(H394/45),0))</f>
        <v>8</v>
      </c>
    </row>
    <row r="395" customFormat="false" ht="15" hidden="false" customHeight="false" outlineLevel="0" collapsed="false">
      <c r="A395" s="4" t="s">
        <v>231</v>
      </c>
      <c r="B395" s="4" t="s">
        <v>232</v>
      </c>
      <c r="C395" s="4" t="s">
        <v>233</v>
      </c>
      <c r="D395" s="4" t="s">
        <v>32</v>
      </c>
      <c r="E395" s="4" t="s">
        <v>19</v>
      </c>
      <c r="F395" s="4" t="n">
        <v>2</v>
      </c>
      <c r="G395" s="4" t="n">
        <v>0</v>
      </c>
      <c r="H395" s="4" t="n">
        <v>6</v>
      </c>
      <c r="I395" s="4" t="n">
        <v>2</v>
      </c>
      <c r="J395" s="4" t="n">
        <f aca="false">G395+I395</f>
        <v>2</v>
      </c>
      <c r="K395" s="4" t="n">
        <f aca="false">IF(H395&lt;=0,"",ROUND(J395/(H395/45),0))</f>
        <v>15</v>
      </c>
    </row>
    <row r="396" customFormat="false" ht="15" hidden="false" customHeight="false" outlineLevel="0" collapsed="false">
      <c r="A396" s="4" t="s">
        <v>231</v>
      </c>
      <c r="B396" s="4" t="s">
        <v>232</v>
      </c>
      <c r="C396" s="4" t="s">
        <v>233</v>
      </c>
      <c r="D396" s="4" t="s">
        <v>66</v>
      </c>
      <c r="E396" s="4" t="s">
        <v>19</v>
      </c>
      <c r="F396" s="4" t="n">
        <v>2</v>
      </c>
      <c r="G396" s="4" t="n">
        <v>3</v>
      </c>
      <c r="H396" s="4" t="n">
        <v>6</v>
      </c>
      <c r="I396" s="4" t="n">
        <v>2</v>
      </c>
      <c r="J396" s="4" t="n">
        <f aca="false">G396+I396</f>
        <v>5</v>
      </c>
      <c r="K396" s="4" t="n">
        <f aca="false">IF(H396&lt;=0,"",ROUND(J396/(H396/45),0))</f>
        <v>38</v>
      </c>
    </row>
    <row r="397" customFormat="false" ht="15" hidden="false" customHeight="false" outlineLevel="0" collapsed="false">
      <c r="A397" s="4" t="s">
        <v>231</v>
      </c>
      <c r="B397" s="4" t="s">
        <v>232</v>
      </c>
      <c r="C397" s="4" t="s">
        <v>233</v>
      </c>
      <c r="D397" s="4" t="s">
        <v>39</v>
      </c>
      <c r="E397" s="4" t="s">
        <v>19</v>
      </c>
      <c r="F397" s="4" t="n">
        <v>2</v>
      </c>
      <c r="G397" s="4" t="n">
        <v>0</v>
      </c>
      <c r="H397" s="4" t="n">
        <v>6</v>
      </c>
      <c r="I397" s="4" t="n">
        <v>2</v>
      </c>
      <c r="J397" s="4" t="n">
        <f aca="false">G397+I397</f>
        <v>2</v>
      </c>
      <c r="K397" s="4" t="n">
        <f aca="false">IF(H397&lt;=0,"",ROUND(J397/(H397/45),0))</f>
        <v>15</v>
      </c>
    </row>
    <row r="398" customFormat="false" ht="15" hidden="false" customHeight="false" outlineLevel="0" collapsed="false">
      <c r="A398" s="4" t="s">
        <v>234</v>
      </c>
      <c r="B398" s="4" t="s">
        <v>235</v>
      </c>
      <c r="C398" s="4" t="s">
        <v>236</v>
      </c>
      <c r="D398" s="4" t="s">
        <v>82</v>
      </c>
      <c r="E398" s="4" t="s">
        <v>19</v>
      </c>
      <c r="F398" s="4" t="n">
        <v>3</v>
      </c>
      <c r="G398" s="4" t="n">
        <v>2</v>
      </c>
      <c r="H398" s="4" t="n">
        <v>16.7</v>
      </c>
      <c r="I398" s="4" t="n">
        <v>7</v>
      </c>
      <c r="J398" s="4" t="n">
        <f aca="false">G398+I398</f>
        <v>9</v>
      </c>
      <c r="K398" s="4" t="n">
        <f aca="false">IF(H398&lt;=0,"",ROUND(J398/(H398/45),0))</f>
        <v>24</v>
      </c>
    </row>
    <row r="399" customFormat="false" ht="15" hidden="false" customHeight="false" outlineLevel="0" collapsed="false">
      <c r="A399" s="4" t="s">
        <v>234</v>
      </c>
      <c r="B399" s="4" t="s">
        <v>235</v>
      </c>
      <c r="C399" s="4" t="s">
        <v>236</v>
      </c>
      <c r="D399" s="4" t="s">
        <v>29</v>
      </c>
      <c r="E399" s="4" t="s">
        <v>19</v>
      </c>
      <c r="F399" s="4" t="n">
        <v>1</v>
      </c>
      <c r="G399" s="4" t="n">
        <v>0</v>
      </c>
      <c r="H399" s="4" t="n">
        <v>11.7</v>
      </c>
      <c r="I399" s="4" t="n">
        <v>5</v>
      </c>
      <c r="J399" s="4" t="n">
        <f aca="false">G399+I399</f>
        <v>5</v>
      </c>
      <c r="K399" s="4" t="n">
        <f aca="false">IF(H399&lt;=0,"",ROUND(J399/(H399/45),0))</f>
        <v>19</v>
      </c>
    </row>
    <row r="400" customFormat="false" ht="15" hidden="false" customHeight="false" outlineLevel="0" collapsed="false">
      <c r="A400" s="4" t="s">
        <v>234</v>
      </c>
      <c r="B400" s="4" t="s">
        <v>235</v>
      </c>
      <c r="C400" s="4" t="s">
        <v>236</v>
      </c>
      <c r="D400" s="4" t="s">
        <v>74</v>
      </c>
      <c r="E400" s="4" t="s">
        <v>19</v>
      </c>
      <c r="F400" s="4" t="n">
        <v>9</v>
      </c>
      <c r="G400" s="4" t="n">
        <v>0</v>
      </c>
      <c r="H400" s="4" t="n">
        <v>37.3</v>
      </c>
      <c r="I400" s="4" t="n">
        <v>2</v>
      </c>
      <c r="J400" s="4" t="n">
        <f aca="false">G400+I400</f>
        <v>2</v>
      </c>
      <c r="K400" s="4" t="n">
        <f aca="false">IF(H400&lt;=0,"",ROUND(J400/(H400/45),0))</f>
        <v>2</v>
      </c>
    </row>
    <row r="401" customFormat="false" ht="15" hidden="false" customHeight="false" outlineLevel="0" collapsed="false">
      <c r="A401" s="4" t="s">
        <v>234</v>
      </c>
      <c r="B401" s="4" t="s">
        <v>235</v>
      </c>
      <c r="C401" s="4" t="s">
        <v>236</v>
      </c>
      <c r="D401" s="4" t="s">
        <v>30</v>
      </c>
      <c r="E401" s="4" t="s">
        <v>19</v>
      </c>
      <c r="F401" s="4" t="n">
        <v>18</v>
      </c>
      <c r="G401" s="4" t="n">
        <v>0</v>
      </c>
      <c r="H401" s="4" t="n">
        <v>69.5</v>
      </c>
      <c r="I401" s="4" t="n">
        <v>2</v>
      </c>
      <c r="J401" s="4" t="n">
        <f aca="false">G401+I401</f>
        <v>2</v>
      </c>
      <c r="K401" s="4" t="n">
        <f aca="false">IF(H401&lt;=0,"",ROUND(J401/(H401/45),0))</f>
        <v>1</v>
      </c>
    </row>
    <row r="402" customFormat="false" ht="15" hidden="false" customHeight="false" outlineLevel="0" collapsed="false">
      <c r="A402" s="4" t="s">
        <v>234</v>
      </c>
      <c r="B402" s="4" t="s">
        <v>235</v>
      </c>
      <c r="C402" s="4" t="s">
        <v>236</v>
      </c>
      <c r="D402" s="4" t="s">
        <v>182</v>
      </c>
      <c r="E402" s="4" t="s">
        <v>19</v>
      </c>
      <c r="F402" s="4" t="n">
        <v>9</v>
      </c>
      <c r="G402" s="4" t="n">
        <v>0</v>
      </c>
      <c r="H402" s="4" t="n">
        <v>30.2</v>
      </c>
      <c r="I402" s="4" t="n">
        <v>2</v>
      </c>
      <c r="J402" s="4" t="n">
        <f aca="false">G402+I402</f>
        <v>2</v>
      </c>
      <c r="K402" s="4" t="n">
        <f aca="false">IF(H402&lt;=0,"",ROUND(J402/(H402/45),0))</f>
        <v>3</v>
      </c>
    </row>
    <row r="403" customFormat="false" ht="15" hidden="false" customHeight="false" outlineLevel="0" collapsed="false">
      <c r="A403" s="4" t="s">
        <v>234</v>
      </c>
      <c r="B403" s="4" t="s">
        <v>235</v>
      </c>
      <c r="C403" s="4" t="s">
        <v>236</v>
      </c>
      <c r="D403" s="4" t="s">
        <v>31</v>
      </c>
      <c r="E403" s="4" t="s">
        <v>19</v>
      </c>
      <c r="F403" s="4" t="n">
        <v>8</v>
      </c>
      <c r="G403" s="4" t="n">
        <v>1</v>
      </c>
      <c r="H403" s="4" t="n">
        <v>28.4</v>
      </c>
      <c r="I403" s="4" t="n">
        <v>2</v>
      </c>
      <c r="J403" s="4" t="n">
        <f aca="false">G403+I403</f>
        <v>3</v>
      </c>
      <c r="K403" s="4" t="n">
        <f aca="false">IF(H403&lt;=0,"",ROUND(J403/(H403/45),0))</f>
        <v>5</v>
      </c>
    </row>
    <row r="404" customFormat="false" ht="15" hidden="false" customHeight="false" outlineLevel="0" collapsed="false">
      <c r="A404" s="4" t="s">
        <v>234</v>
      </c>
      <c r="B404" s="4" t="s">
        <v>235</v>
      </c>
      <c r="C404" s="4" t="s">
        <v>236</v>
      </c>
      <c r="D404" s="4" t="s">
        <v>75</v>
      </c>
      <c r="E404" s="4" t="s">
        <v>19</v>
      </c>
      <c r="F404" s="4" t="n">
        <v>3</v>
      </c>
      <c r="G404" s="4" t="n">
        <v>0</v>
      </c>
      <c r="H404" s="4" t="n">
        <v>14.5</v>
      </c>
      <c r="I404" s="4" t="n">
        <v>6</v>
      </c>
      <c r="J404" s="4" t="n">
        <f aca="false">G404+I404</f>
        <v>6</v>
      </c>
      <c r="K404" s="4" t="n">
        <f aca="false">IF(H404&lt;=0,"",ROUND(J404/(H404/45),0))</f>
        <v>19</v>
      </c>
    </row>
    <row r="405" customFormat="false" ht="15" hidden="false" customHeight="false" outlineLevel="0" collapsed="false">
      <c r="A405" s="4" t="s">
        <v>234</v>
      </c>
      <c r="B405" s="4" t="s">
        <v>235</v>
      </c>
      <c r="C405" s="4" t="s">
        <v>236</v>
      </c>
      <c r="D405" s="4" t="s">
        <v>76</v>
      </c>
      <c r="E405" s="4" t="s">
        <v>19</v>
      </c>
      <c r="F405" s="4" t="n">
        <v>13</v>
      </c>
      <c r="G405" s="4" t="n">
        <v>0</v>
      </c>
      <c r="H405" s="4" t="n">
        <v>39</v>
      </c>
      <c r="I405" s="4" t="n">
        <v>17</v>
      </c>
      <c r="J405" s="4" t="n">
        <f aca="false">G405+I405</f>
        <v>17</v>
      </c>
      <c r="K405" s="4" t="n">
        <f aca="false">IF(H405&lt;=0,"",ROUND(J405/(H405/45),0))</f>
        <v>20</v>
      </c>
    </row>
    <row r="406" customFormat="false" ht="15" hidden="false" customHeight="false" outlineLevel="0" collapsed="false">
      <c r="A406" s="3" t="s">
        <v>234</v>
      </c>
      <c r="B406" s="3" t="s">
        <v>235</v>
      </c>
      <c r="C406" s="3" t="s">
        <v>236</v>
      </c>
      <c r="D406" s="3" t="s">
        <v>15</v>
      </c>
      <c r="E406" s="3" t="s">
        <v>16</v>
      </c>
      <c r="F406" s="3" t="s">
        <v>17</v>
      </c>
      <c r="G406" s="3" t="s">
        <v>17</v>
      </c>
      <c r="H406" s="3" t="s">
        <v>17</v>
      </c>
      <c r="I406" s="3" t="n">
        <v>274</v>
      </c>
      <c r="J406" s="3" t="s">
        <v>17</v>
      </c>
      <c r="K406" s="3" t="s">
        <v>17</v>
      </c>
    </row>
    <row r="407" customFormat="false" ht="15" hidden="false" customHeight="false" outlineLevel="0" collapsed="false">
      <c r="A407" s="4" t="s">
        <v>234</v>
      </c>
      <c r="B407" s="4" t="s">
        <v>235</v>
      </c>
      <c r="C407" s="4" t="s">
        <v>236</v>
      </c>
      <c r="D407" s="4" t="s">
        <v>32</v>
      </c>
      <c r="E407" s="4" t="s">
        <v>19</v>
      </c>
      <c r="F407" s="4" t="n">
        <v>2</v>
      </c>
      <c r="G407" s="4" t="n">
        <v>0</v>
      </c>
      <c r="H407" s="4" t="n">
        <v>31.9</v>
      </c>
      <c r="I407" s="4" t="n">
        <v>2</v>
      </c>
      <c r="J407" s="4" t="n">
        <f aca="false">G407+I407</f>
        <v>2</v>
      </c>
      <c r="K407" s="4" t="n">
        <f aca="false">IF(H407&lt;=0,"",ROUND(J407/(H407/45),0))</f>
        <v>3</v>
      </c>
    </row>
    <row r="408" customFormat="false" ht="15" hidden="false" customHeight="false" outlineLevel="0" collapsed="false">
      <c r="A408" s="3" t="s">
        <v>234</v>
      </c>
      <c r="B408" s="3" t="s">
        <v>235</v>
      </c>
      <c r="C408" s="3" t="s">
        <v>236</v>
      </c>
      <c r="D408" s="3" t="s">
        <v>33</v>
      </c>
      <c r="E408" s="3" t="s">
        <v>16</v>
      </c>
      <c r="F408" s="3" t="s">
        <v>17</v>
      </c>
      <c r="G408" s="3" t="s">
        <v>17</v>
      </c>
      <c r="H408" s="3" t="s">
        <v>17</v>
      </c>
      <c r="I408" s="3" t="n">
        <v>125</v>
      </c>
      <c r="J408" s="3" t="s">
        <v>17</v>
      </c>
      <c r="K408" s="3" t="s">
        <v>17</v>
      </c>
    </row>
    <row r="409" customFormat="false" ht="15" hidden="false" customHeight="false" outlineLevel="0" collapsed="false">
      <c r="A409" s="4" t="s">
        <v>234</v>
      </c>
      <c r="B409" s="4" t="s">
        <v>235</v>
      </c>
      <c r="C409" s="4" t="s">
        <v>236</v>
      </c>
      <c r="D409" s="4" t="s">
        <v>77</v>
      </c>
      <c r="E409" s="4" t="s">
        <v>19</v>
      </c>
      <c r="F409" s="4" t="n">
        <v>11</v>
      </c>
      <c r="G409" s="4" t="n">
        <v>0</v>
      </c>
      <c r="H409" s="4" t="n">
        <v>49.9</v>
      </c>
      <c r="I409" s="4" t="n">
        <v>22</v>
      </c>
      <c r="J409" s="4" t="n">
        <f aca="false">G409+I409</f>
        <v>22</v>
      </c>
      <c r="K409" s="4" t="n">
        <f aca="false">IF(H409&lt;=0,"",ROUND(J409/(H409/45),0))</f>
        <v>20</v>
      </c>
    </row>
    <row r="410" customFormat="false" ht="15" hidden="false" customHeight="false" outlineLevel="0" collapsed="false">
      <c r="A410" s="4" t="s">
        <v>234</v>
      </c>
      <c r="B410" s="4" t="s">
        <v>235</v>
      </c>
      <c r="C410" s="4" t="s">
        <v>236</v>
      </c>
      <c r="D410" s="4" t="s">
        <v>66</v>
      </c>
      <c r="E410" s="4" t="s">
        <v>19</v>
      </c>
      <c r="F410" s="4" t="n">
        <v>10</v>
      </c>
      <c r="G410" s="4" t="n">
        <v>2</v>
      </c>
      <c r="H410" s="4" t="n">
        <v>53</v>
      </c>
      <c r="I410" s="4" t="n">
        <v>23</v>
      </c>
      <c r="J410" s="4" t="n">
        <f aca="false">G410+I410</f>
        <v>25</v>
      </c>
      <c r="K410" s="4" t="n">
        <f aca="false">IF(H410&lt;=0,"",ROUND(J410/(H410/45),0))</f>
        <v>21</v>
      </c>
    </row>
    <row r="411" customFormat="false" ht="15" hidden="false" customHeight="false" outlineLevel="0" collapsed="false">
      <c r="A411" s="4" t="s">
        <v>234</v>
      </c>
      <c r="B411" s="4" t="s">
        <v>235</v>
      </c>
      <c r="C411" s="4" t="s">
        <v>236</v>
      </c>
      <c r="D411" s="4" t="s">
        <v>34</v>
      </c>
      <c r="E411" s="4" t="s">
        <v>19</v>
      </c>
      <c r="F411" s="4" t="n">
        <v>1</v>
      </c>
      <c r="G411" s="4" t="n">
        <v>0</v>
      </c>
      <c r="H411" s="4" t="n">
        <v>24.5</v>
      </c>
      <c r="I411" s="4" t="n">
        <v>11</v>
      </c>
      <c r="J411" s="4" t="n">
        <f aca="false">G411+I411</f>
        <v>11</v>
      </c>
      <c r="K411" s="4" t="n">
        <f aca="false">IF(H411&lt;=0,"",ROUND(J411/(H411/45),0))</f>
        <v>20</v>
      </c>
    </row>
    <row r="412" customFormat="false" ht="15" hidden="false" customHeight="false" outlineLevel="0" collapsed="false">
      <c r="A412" s="4" t="s">
        <v>234</v>
      </c>
      <c r="B412" s="4" t="s">
        <v>235</v>
      </c>
      <c r="C412" s="4" t="s">
        <v>236</v>
      </c>
      <c r="D412" s="4" t="s">
        <v>53</v>
      </c>
      <c r="E412" s="4" t="s">
        <v>19</v>
      </c>
      <c r="F412" s="4" t="n">
        <v>22</v>
      </c>
      <c r="G412" s="4" t="n">
        <v>0</v>
      </c>
      <c r="H412" s="4" t="n">
        <v>84.2</v>
      </c>
      <c r="I412" s="4" t="n">
        <v>38</v>
      </c>
      <c r="J412" s="4" t="n">
        <f aca="false">G412+I412</f>
        <v>38</v>
      </c>
      <c r="K412" s="4" t="n">
        <f aca="false">IF(H412&lt;=0,"",ROUND(J412/(H412/45),0))</f>
        <v>20</v>
      </c>
    </row>
    <row r="413" customFormat="false" ht="15" hidden="false" customHeight="false" outlineLevel="0" collapsed="false">
      <c r="A413" s="4" t="s">
        <v>234</v>
      </c>
      <c r="B413" s="4" t="s">
        <v>235</v>
      </c>
      <c r="C413" s="4" t="s">
        <v>236</v>
      </c>
      <c r="D413" s="4" t="s">
        <v>35</v>
      </c>
      <c r="E413" s="4" t="s">
        <v>19</v>
      </c>
      <c r="F413" s="4" t="n">
        <v>10</v>
      </c>
      <c r="G413" s="4" t="n">
        <v>0</v>
      </c>
      <c r="H413" s="4" t="n">
        <v>30</v>
      </c>
      <c r="I413" s="4" t="n">
        <v>13</v>
      </c>
      <c r="J413" s="4" t="n">
        <f aca="false">G413+I413</f>
        <v>13</v>
      </c>
      <c r="K413" s="4" t="n">
        <f aca="false">IF(H413&lt;=0,"",ROUND(J413/(H413/45),0))</f>
        <v>20</v>
      </c>
    </row>
    <row r="414" customFormat="false" ht="15" hidden="false" customHeight="false" outlineLevel="0" collapsed="false">
      <c r="A414" s="4" t="s">
        <v>234</v>
      </c>
      <c r="B414" s="4" t="s">
        <v>235</v>
      </c>
      <c r="C414" s="4" t="s">
        <v>236</v>
      </c>
      <c r="D414" s="4" t="s">
        <v>78</v>
      </c>
      <c r="E414" s="4" t="s">
        <v>19</v>
      </c>
      <c r="F414" s="4" t="n">
        <v>1</v>
      </c>
      <c r="G414" s="4" t="n">
        <v>0</v>
      </c>
      <c r="H414" s="4" t="n">
        <v>16.4</v>
      </c>
      <c r="I414" s="4" t="n">
        <v>7</v>
      </c>
      <c r="J414" s="4" t="n">
        <f aca="false">G414+I414</f>
        <v>7</v>
      </c>
      <c r="K414" s="4" t="n">
        <f aca="false">IF(H414&lt;=0,"",ROUND(J414/(H414/45),0))</f>
        <v>19</v>
      </c>
    </row>
    <row r="415" customFormat="false" ht="15" hidden="false" customHeight="false" outlineLevel="0" collapsed="false">
      <c r="A415" s="4" t="s">
        <v>234</v>
      </c>
      <c r="B415" s="4" t="s">
        <v>235</v>
      </c>
      <c r="C415" s="4" t="s">
        <v>236</v>
      </c>
      <c r="D415" s="4" t="s">
        <v>18</v>
      </c>
      <c r="E415" s="4" t="s">
        <v>19</v>
      </c>
      <c r="F415" s="4" t="n">
        <v>15</v>
      </c>
      <c r="G415" s="4" t="n">
        <v>0</v>
      </c>
      <c r="H415" s="4" t="n">
        <v>93.2</v>
      </c>
      <c r="I415" s="4" t="n">
        <v>2</v>
      </c>
      <c r="J415" s="4" t="n">
        <f aca="false">G415+I415</f>
        <v>2</v>
      </c>
      <c r="K415" s="4" t="n">
        <f aca="false">IF(H415&lt;=0,"",ROUND(J415/(H415/45),0))</f>
        <v>1</v>
      </c>
    </row>
    <row r="416" customFormat="false" ht="15" hidden="false" customHeight="false" outlineLevel="0" collapsed="false">
      <c r="A416" s="4" t="s">
        <v>234</v>
      </c>
      <c r="B416" s="4" t="s">
        <v>235</v>
      </c>
      <c r="C416" s="4" t="s">
        <v>236</v>
      </c>
      <c r="D416" s="4" t="s">
        <v>39</v>
      </c>
      <c r="E416" s="4" t="s">
        <v>19</v>
      </c>
      <c r="F416" s="4" t="n">
        <v>28</v>
      </c>
      <c r="G416" s="4" t="n">
        <v>0</v>
      </c>
      <c r="H416" s="4" t="n">
        <v>117.3</v>
      </c>
      <c r="I416" s="4" t="n">
        <v>52</v>
      </c>
      <c r="J416" s="4" t="n">
        <f aca="false">G416+I416</f>
        <v>52</v>
      </c>
      <c r="K416" s="4" t="n">
        <f aca="false">IF(H416&lt;=0,"",ROUND(J416/(H416/45),0))</f>
        <v>20</v>
      </c>
    </row>
    <row r="417" customFormat="false" ht="15" hidden="false" customHeight="false" outlineLevel="0" collapsed="false">
      <c r="A417" s="4" t="s">
        <v>234</v>
      </c>
      <c r="B417" s="4" t="s">
        <v>235</v>
      </c>
      <c r="C417" s="4" t="s">
        <v>236</v>
      </c>
      <c r="D417" s="4" t="s">
        <v>70</v>
      </c>
      <c r="E417" s="4" t="s">
        <v>19</v>
      </c>
      <c r="F417" s="4" t="n">
        <v>119</v>
      </c>
      <c r="G417" s="4" t="n">
        <v>44</v>
      </c>
      <c r="H417" s="4" t="n">
        <v>357</v>
      </c>
      <c r="I417" s="4" t="n">
        <v>140</v>
      </c>
      <c r="J417" s="4" t="n">
        <f aca="false">G417+I417</f>
        <v>184</v>
      </c>
      <c r="K417" s="4" t="n">
        <f aca="false">IF(H417&lt;=0,"",ROUND(J417/(H417/45),0))</f>
        <v>23</v>
      </c>
    </row>
    <row r="418" customFormat="false" ht="15" hidden="false" customHeight="false" outlineLevel="0" collapsed="false">
      <c r="A418" s="4" t="s">
        <v>234</v>
      </c>
      <c r="B418" s="4" t="s">
        <v>235</v>
      </c>
      <c r="C418" s="4" t="s">
        <v>236</v>
      </c>
      <c r="D418" s="4" t="s">
        <v>40</v>
      </c>
      <c r="E418" s="4" t="s">
        <v>19</v>
      </c>
      <c r="F418" s="4" t="n">
        <v>81</v>
      </c>
      <c r="G418" s="4" t="n">
        <v>36</v>
      </c>
      <c r="H418" s="4" t="n">
        <v>262.3</v>
      </c>
      <c r="I418" s="4" t="n">
        <v>2</v>
      </c>
      <c r="J418" s="4" t="n">
        <f aca="false">G418+I418</f>
        <v>38</v>
      </c>
      <c r="K418" s="4" t="n">
        <f aca="false">IF(H418&lt;=0,"",ROUND(J418/(H418/45),0))</f>
        <v>7</v>
      </c>
    </row>
    <row r="419" customFormat="false" ht="15" hidden="false" customHeight="false" outlineLevel="0" collapsed="false">
      <c r="A419" s="4" t="s">
        <v>237</v>
      </c>
      <c r="B419" s="4" t="s">
        <v>238</v>
      </c>
      <c r="C419" s="4" t="s">
        <v>239</v>
      </c>
      <c r="D419" s="4" t="s">
        <v>30</v>
      </c>
      <c r="E419" s="4" t="s">
        <v>19</v>
      </c>
      <c r="F419" s="4" t="n">
        <v>2</v>
      </c>
      <c r="G419" s="4" t="n">
        <v>4</v>
      </c>
      <c r="H419" s="4" t="n">
        <v>6</v>
      </c>
      <c r="I419" s="4" t="n">
        <v>2</v>
      </c>
      <c r="J419" s="4" t="n">
        <f aca="false">G419+I419</f>
        <v>6</v>
      </c>
      <c r="K419" s="4" t="n">
        <f aca="false">IF(H419&lt;=0,"",ROUND(J419/(H419/45),0))</f>
        <v>45</v>
      </c>
    </row>
    <row r="420" customFormat="false" ht="15" hidden="false" customHeight="false" outlineLevel="0" collapsed="false">
      <c r="A420" s="4" t="s">
        <v>237</v>
      </c>
      <c r="B420" s="4" t="s">
        <v>238</v>
      </c>
      <c r="C420" s="4" t="s">
        <v>239</v>
      </c>
      <c r="D420" s="4" t="s">
        <v>18</v>
      </c>
      <c r="E420" s="4" t="s">
        <v>19</v>
      </c>
      <c r="F420" s="4" t="n">
        <v>0</v>
      </c>
      <c r="G420" s="4" t="n">
        <v>1</v>
      </c>
      <c r="H420" s="4" t="n">
        <v>6</v>
      </c>
      <c r="I420" s="4" t="n">
        <v>2</v>
      </c>
      <c r="J420" s="4" t="n">
        <f aca="false">G420+I420</f>
        <v>3</v>
      </c>
      <c r="K420" s="4" t="n">
        <f aca="false">IF(H420&lt;=0,"",ROUND(J420/(H420/45),0))</f>
        <v>23</v>
      </c>
    </row>
    <row r="421" customFormat="false" ht="15" hidden="false" customHeight="false" outlineLevel="0" collapsed="false">
      <c r="A421" s="4" t="s">
        <v>240</v>
      </c>
      <c r="B421" s="4" t="s">
        <v>241</v>
      </c>
      <c r="C421" s="4" t="s">
        <v>242</v>
      </c>
      <c r="D421" s="4" t="s">
        <v>18</v>
      </c>
      <c r="E421" s="4" t="s">
        <v>19</v>
      </c>
      <c r="F421" s="4" t="n">
        <v>1</v>
      </c>
      <c r="G421" s="4" t="n">
        <v>0</v>
      </c>
      <c r="H421" s="4" t="n">
        <v>7.6</v>
      </c>
      <c r="I421" s="4" t="n">
        <v>3</v>
      </c>
      <c r="J421" s="4" t="n">
        <f aca="false">G421+I421</f>
        <v>3</v>
      </c>
      <c r="K421" s="4" t="n">
        <f aca="false">IF(H421&lt;=0,"",ROUND(J421/(H421/45),0))</f>
        <v>18</v>
      </c>
    </row>
    <row r="422" customFormat="false" ht="15" hidden="false" customHeight="false" outlineLevel="0" collapsed="false">
      <c r="A422" s="4" t="s">
        <v>240</v>
      </c>
      <c r="B422" s="4" t="s">
        <v>241</v>
      </c>
      <c r="C422" s="4" t="s">
        <v>242</v>
      </c>
      <c r="D422" s="4" t="s">
        <v>70</v>
      </c>
      <c r="E422" s="4" t="s">
        <v>19</v>
      </c>
      <c r="F422" s="4" t="n">
        <v>0</v>
      </c>
      <c r="G422" s="4" t="n">
        <v>1</v>
      </c>
      <c r="H422" s="4" t="n">
        <v>7.2</v>
      </c>
      <c r="I422" s="4" t="n">
        <v>2</v>
      </c>
      <c r="J422" s="4" t="n">
        <f aca="false">G422+I422</f>
        <v>3</v>
      </c>
      <c r="K422" s="4" t="n">
        <f aca="false">IF(H422&lt;=0,"",ROUND(J422/(H422/45),0))</f>
        <v>19</v>
      </c>
    </row>
    <row r="423" customFormat="false" ht="15" hidden="false" customHeight="false" outlineLevel="0" collapsed="false">
      <c r="A423" s="4" t="s">
        <v>243</v>
      </c>
      <c r="B423" s="4" t="s">
        <v>244</v>
      </c>
      <c r="C423" s="4" t="s">
        <v>245</v>
      </c>
      <c r="D423" s="4" t="s">
        <v>75</v>
      </c>
      <c r="E423" s="4" t="s">
        <v>19</v>
      </c>
      <c r="F423" s="4" t="n">
        <v>2</v>
      </c>
      <c r="G423" s="4" t="n">
        <v>1</v>
      </c>
      <c r="H423" s="4" t="n">
        <v>6</v>
      </c>
      <c r="I423" s="4" t="n">
        <v>3</v>
      </c>
      <c r="J423" s="4" t="n">
        <f aca="false">G423+I423</f>
        <v>4</v>
      </c>
      <c r="K423" s="4" t="n">
        <f aca="false">IF(H423&lt;=0,"",ROUND(J423/(H423/45),0))</f>
        <v>30</v>
      </c>
    </row>
    <row r="424" customFormat="false" ht="15" hidden="false" customHeight="false" outlineLevel="0" collapsed="false">
      <c r="A424" s="4" t="s">
        <v>243</v>
      </c>
      <c r="B424" s="4" t="s">
        <v>244</v>
      </c>
      <c r="C424" s="4" t="s">
        <v>245</v>
      </c>
      <c r="D424" s="4" t="s">
        <v>76</v>
      </c>
      <c r="E424" s="4" t="s">
        <v>19</v>
      </c>
      <c r="F424" s="4" t="n">
        <v>2</v>
      </c>
      <c r="G424" s="4" t="n">
        <v>0</v>
      </c>
      <c r="H424" s="4" t="n">
        <v>6</v>
      </c>
      <c r="I424" s="4" t="n">
        <v>4</v>
      </c>
      <c r="J424" s="4" t="n">
        <f aca="false">G424+I424</f>
        <v>4</v>
      </c>
      <c r="K424" s="4" t="n">
        <f aca="false">IF(H424&lt;=0,"",ROUND(J424/(H424/45),0))</f>
        <v>30</v>
      </c>
    </row>
    <row r="425" customFormat="false" ht="15" hidden="false" customHeight="false" outlineLevel="0" collapsed="false">
      <c r="A425" s="3" t="s">
        <v>243</v>
      </c>
      <c r="B425" s="3" t="s">
        <v>244</v>
      </c>
      <c r="C425" s="3" t="s">
        <v>245</v>
      </c>
      <c r="D425" s="3" t="s">
        <v>15</v>
      </c>
      <c r="E425" s="3" t="s">
        <v>16</v>
      </c>
      <c r="F425" s="3" t="s">
        <v>17</v>
      </c>
      <c r="G425" s="3" t="s">
        <v>17</v>
      </c>
      <c r="H425" s="3" t="s">
        <v>17</v>
      </c>
      <c r="I425" s="3" t="n">
        <v>5</v>
      </c>
      <c r="J425" s="3" t="s">
        <v>17</v>
      </c>
      <c r="K425" s="3" t="s">
        <v>17</v>
      </c>
    </row>
    <row r="426" customFormat="false" ht="15" hidden="false" customHeight="false" outlineLevel="0" collapsed="false">
      <c r="A426" s="4" t="s">
        <v>243</v>
      </c>
      <c r="B426" s="4" t="s">
        <v>244</v>
      </c>
      <c r="C426" s="4" t="s">
        <v>245</v>
      </c>
      <c r="D426" s="4" t="s">
        <v>32</v>
      </c>
      <c r="E426" s="4" t="s">
        <v>19</v>
      </c>
      <c r="F426" s="4" t="n">
        <v>2</v>
      </c>
      <c r="G426" s="4" t="n">
        <v>2</v>
      </c>
      <c r="H426" s="4" t="n">
        <v>6</v>
      </c>
      <c r="I426" s="4" t="n">
        <v>2</v>
      </c>
      <c r="J426" s="4" t="n">
        <f aca="false">G426+I426</f>
        <v>4</v>
      </c>
      <c r="K426" s="4" t="n">
        <f aca="false">IF(H426&lt;=0,"",ROUND(J426/(H426/45),0))</f>
        <v>30</v>
      </c>
    </row>
    <row r="427" customFormat="false" ht="15" hidden="false" customHeight="false" outlineLevel="0" collapsed="false">
      <c r="A427" s="3" t="s">
        <v>243</v>
      </c>
      <c r="B427" s="3" t="s">
        <v>244</v>
      </c>
      <c r="C427" s="3" t="s">
        <v>245</v>
      </c>
      <c r="D427" s="3" t="s">
        <v>33</v>
      </c>
      <c r="E427" s="3" t="s">
        <v>16</v>
      </c>
      <c r="F427" s="3" t="s">
        <v>17</v>
      </c>
      <c r="G427" s="3" t="s">
        <v>17</v>
      </c>
      <c r="H427" s="3" t="s">
        <v>17</v>
      </c>
      <c r="I427" s="3" t="n">
        <v>2</v>
      </c>
      <c r="J427" s="3" t="s">
        <v>17</v>
      </c>
      <c r="K427" s="3" t="s">
        <v>17</v>
      </c>
    </row>
    <row r="428" customFormat="false" ht="15" hidden="false" customHeight="false" outlineLevel="0" collapsed="false">
      <c r="A428" s="4" t="s">
        <v>243</v>
      </c>
      <c r="B428" s="4" t="s">
        <v>244</v>
      </c>
      <c r="C428" s="4" t="s">
        <v>245</v>
      </c>
      <c r="D428" s="4" t="s">
        <v>66</v>
      </c>
      <c r="E428" s="4" t="s">
        <v>19</v>
      </c>
      <c r="F428" s="4" t="n">
        <v>4</v>
      </c>
      <c r="G428" s="4" t="n">
        <v>6</v>
      </c>
      <c r="H428" s="4" t="n">
        <v>12</v>
      </c>
      <c r="I428" s="4" t="n">
        <v>4</v>
      </c>
      <c r="J428" s="4" t="n">
        <f aca="false">G428+I428</f>
        <v>10</v>
      </c>
      <c r="K428" s="4" t="n">
        <f aca="false">IF(H428&lt;=0,"",ROUND(J428/(H428/45),0))</f>
        <v>38</v>
      </c>
    </row>
    <row r="429" customFormat="false" ht="15" hidden="false" customHeight="false" outlineLevel="0" collapsed="false">
      <c r="A429" s="4" t="s">
        <v>246</v>
      </c>
      <c r="B429" s="4" t="s">
        <v>247</v>
      </c>
      <c r="C429" s="4" t="s">
        <v>248</v>
      </c>
      <c r="D429" s="4" t="s">
        <v>74</v>
      </c>
      <c r="E429" s="4" t="s">
        <v>19</v>
      </c>
      <c r="F429" s="4" t="n">
        <v>7</v>
      </c>
      <c r="G429" s="4" t="n">
        <v>13</v>
      </c>
      <c r="H429" s="4" t="n">
        <v>23.3</v>
      </c>
      <c r="I429" s="4" t="n">
        <v>2</v>
      </c>
      <c r="J429" s="4" t="n">
        <f aca="false">G429+I429</f>
        <v>15</v>
      </c>
      <c r="K429" s="4" t="n">
        <f aca="false">IF(H429&lt;=0,"",ROUND(J429/(H429/45),0))</f>
        <v>29</v>
      </c>
    </row>
    <row r="430" customFormat="false" ht="15" hidden="false" customHeight="false" outlineLevel="0" collapsed="false">
      <c r="A430" s="4" t="s">
        <v>246</v>
      </c>
      <c r="B430" s="4" t="s">
        <v>247</v>
      </c>
      <c r="C430" s="4" t="s">
        <v>248</v>
      </c>
      <c r="D430" s="4" t="s">
        <v>182</v>
      </c>
      <c r="E430" s="4" t="s">
        <v>19</v>
      </c>
      <c r="F430" s="4" t="n">
        <v>4</v>
      </c>
      <c r="G430" s="4" t="n">
        <v>0</v>
      </c>
      <c r="H430" s="4" t="n">
        <v>12</v>
      </c>
      <c r="I430" s="4" t="n">
        <v>2</v>
      </c>
      <c r="J430" s="4" t="n">
        <f aca="false">G430+I430</f>
        <v>2</v>
      </c>
      <c r="K430" s="4" t="n">
        <f aca="false">IF(H430&lt;=0,"",ROUND(J430/(H430/45),0))</f>
        <v>8</v>
      </c>
    </row>
    <row r="431" customFormat="false" ht="15" hidden="false" customHeight="false" outlineLevel="0" collapsed="false">
      <c r="A431" s="4" t="s">
        <v>246</v>
      </c>
      <c r="B431" s="4" t="s">
        <v>247</v>
      </c>
      <c r="C431" s="4" t="s">
        <v>248</v>
      </c>
      <c r="D431" s="4" t="s">
        <v>31</v>
      </c>
      <c r="E431" s="4" t="s">
        <v>19</v>
      </c>
      <c r="F431" s="4" t="n">
        <v>13</v>
      </c>
      <c r="G431" s="4" t="n">
        <v>0</v>
      </c>
      <c r="H431" s="4" t="n">
        <v>39</v>
      </c>
      <c r="I431" s="4" t="n">
        <v>2</v>
      </c>
      <c r="J431" s="4" t="n">
        <f aca="false">G431+I431</f>
        <v>2</v>
      </c>
      <c r="K431" s="4" t="n">
        <f aca="false">IF(H431&lt;=0,"",ROUND(J431/(H431/45),0))</f>
        <v>2</v>
      </c>
    </row>
    <row r="432" customFormat="false" ht="15" hidden="false" customHeight="false" outlineLevel="0" collapsed="false">
      <c r="A432" s="4" t="s">
        <v>246</v>
      </c>
      <c r="B432" s="4" t="s">
        <v>247</v>
      </c>
      <c r="C432" s="4" t="s">
        <v>248</v>
      </c>
      <c r="D432" s="4" t="s">
        <v>76</v>
      </c>
      <c r="E432" s="4" t="s">
        <v>19</v>
      </c>
      <c r="F432" s="4" t="n">
        <v>11</v>
      </c>
      <c r="G432" s="4" t="n">
        <v>19</v>
      </c>
      <c r="H432" s="4" t="n">
        <v>33</v>
      </c>
      <c r="I432" s="4" t="n">
        <v>2</v>
      </c>
      <c r="J432" s="4" t="n">
        <f aca="false">G432+I432</f>
        <v>21</v>
      </c>
      <c r="K432" s="4" t="n">
        <f aca="false">IF(H432&lt;=0,"",ROUND(J432/(H432/45),0))</f>
        <v>29</v>
      </c>
    </row>
    <row r="433" customFormat="false" ht="15" hidden="false" customHeight="false" outlineLevel="0" collapsed="false">
      <c r="A433" s="3" t="s">
        <v>246</v>
      </c>
      <c r="B433" s="3" t="s">
        <v>247</v>
      </c>
      <c r="C433" s="3" t="s">
        <v>248</v>
      </c>
      <c r="D433" s="3" t="s">
        <v>15</v>
      </c>
      <c r="E433" s="3" t="s">
        <v>16</v>
      </c>
      <c r="F433" s="3" t="s">
        <v>17</v>
      </c>
      <c r="G433" s="3" t="s">
        <v>17</v>
      </c>
      <c r="H433" s="3" t="s">
        <v>17</v>
      </c>
      <c r="I433" s="3" t="n">
        <v>8</v>
      </c>
      <c r="J433" s="3" t="s">
        <v>17</v>
      </c>
      <c r="K433" s="3" t="s">
        <v>17</v>
      </c>
    </row>
    <row r="434" customFormat="false" ht="15" hidden="false" customHeight="false" outlineLevel="0" collapsed="false">
      <c r="A434" s="3" t="s">
        <v>246</v>
      </c>
      <c r="B434" s="3" t="s">
        <v>247</v>
      </c>
      <c r="C434" s="3" t="s">
        <v>248</v>
      </c>
      <c r="D434" s="3" t="s">
        <v>33</v>
      </c>
      <c r="E434" s="3" t="s">
        <v>16</v>
      </c>
      <c r="F434" s="3" t="s">
        <v>17</v>
      </c>
      <c r="G434" s="3" t="s">
        <v>17</v>
      </c>
      <c r="H434" s="3" t="s">
        <v>17</v>
      </c>
      <c r="I434" s="3" t="n">
        <v>4</v>
      </c>
      <c r="J434" s="3" t="s">
        <v>17</v>
      </c>
      <c r="K434" s="3" t="s">
        <v>17</v>
      </c>
    </row>
    <row r="435" customFormat="false" ht="15" hidden="false" customHeight="false" outlineLevel="0" collapsed="false">
      <c r="A435" s="4" t="s">
        <v>246</v>
      </c>
      <c r="B435" s="4" t="s">
        <v>247</v>
      </c>
      <c r="C435" s="4" t="s">
        <v>248</v>
      </c>
      <c r="D435" s="4" t="s">
        <v>53</v>
      </c>
      <c r="E435" s="4" t="s">
        <v>19</v>
      </c>
      <c r="F435" s="4" t="n">
        <v>18</v>
      </c>
      <c r="G435" s="4" t="n">
        <v>36</v>
      </c>
      <c r="H435" s="4" t="n">
        <v>54</v>
      </c>
      <c r="I435" s="4" t="n">
        <v>3</v>
      </c>
      <c r="J435" s="4" t="n">
        <f aca="false">G435+I435</f>
        <v>39</v>
      </c>
      <c r="K435" s="4" t="n">
        <f aca="false">IF(H435&lt;=0,"",ROUND(J435/(H435/45),0))</f>
        <v>33</v>
      </c>
    </row>
    <row r="436" customFormat="false" ht="15" hidden="false" customHeight="false" outlineLevel="0" collapsed="false">
      <c r="A436" s="4" t="s">
        <v>246</v>
      </c>
      <c r="B436" s="4" t="s">
        <v>247</v>
      </c>
      <c r="C436" s="4" t="s">
        <v>248</v>
      </c>
      <c r="D436" s="4" t="s">
        <v>35</v>
      </c>
      <c r="E436" s="4" t="s">
        <v>19</v>
      </c>
      <c r="F436" s="4" t="n">
        <v>10</v>
      </c>
      <c r="G436" s="4" t="n">
        <v>7</v>
      </c>
      <c r="H436" s="4" t="n">
        <v>30</v>
      </c>
      <c r="I436" s="4" t="n">
        <v>4</v>
      </c>
      <c r="J436" s="4" t="n">
        <f aca="false">G436+I436</f>
        <v>11</v>
      </c>
      <c r="K436" s="4" t="n">
        <f aca="false">IF(H436&lt;=0,"",ROUND(J436/(H436/45),0))</f>
        <v>17</v>
      </c>
    </row>
    <row r="437" customFormat="false" ht="15" hidden="false" customHeight="false" outlineLevel="0" collapsed="false">
      <c r="A437" s="4" t="s">
        <v>246</v>
      </c>
      <c r="B437" s="4" t="s">
        <v>247</v>
      </c>
      <c r="C437" s="4" t="s">
        <v>248</v>
      </c>
      <c r="D437" s="4" t="s">
        <v>78</v>
      </c>
      <c r="E437" s="4" t="s">
        <v>19</v>
      </c>
      <c r="F437" s="4" t="n">
        <v>2</v>
      </c>
      <c r="G437" s="4" t="n">
        <v>0</v>
      </c>
      <c r="H437" s="4" t="n">
        <v>9.3</v>
      </c>
      <c r="I437" s="4" t="n">
        <v>2</v>
      </c>
      <c r="J437" s="4" t="n">
        <f aca="false">G437+I437</f>
        <v>2</v>
      </c>
      <c r="K437" s="4" t="n">
        <f aca="false">IF(H437&lt;=0,"",ROUND(J437/(H437/45),0))</f>
        <v>10</v>
      </c>
    </row>
    <row r="438" customFormat="false" ht="15" hidden="false" customHeight="false" outlineLevel="0" collapsed="false">
      <c r="A438" s="4" t="s">
        <v>246</v>
      </c>
      <c r="B438" s="4" t="s">
        <v>247</v>
      </c>
      <c r="C438" s="4" t="s">
        <v>248</v>
      </c>
      <c r="D438" s="4" t="s">
        <v>18</v>
      </c>
      <c r="E438" s="4" t="s">
        <v>19</v>
      </c>
      <c r="F438" s="4" t="n">
        <v>6</v>
      </c>
      <c r="G438" s="4" t="n">
        <v>0</v>
      </c>
      <c r="H438" s="4" t="n">
        <v>25.5</v>
      </c>
      <c r="I438" s="4" t="n">
        <v>4</v>
      </c>
      <c r="J438" s="4" t="n">
        <f aca="false">G438+I438</f>
        <v>4</v>
      </c>
      <c r="K438" s="4" t="n">
        <f aca="false">IF(H438&lt;=0,"",ROUND(J438/(H438/45),0))</f>
        <v>7</v>
      </c>
    </row>
    <row r="439" customFormat="false" ht="15" hidden="false" customHeight="false" outlineLevel="0" collapsed="false">
      <c r="A439" s="4" t="s">
        <v>246</v>
      </c>
      <c r="B439" s="4" t="s">
        <v>247</v>
      </c>
      <c r="C439" s="4" t="s">
        <v>248</v>
      </c>
      <c r="D439" s="4" t="s">
        <v>39</v>
      </c>
      <c r="E439" s="4" t="s">
        <v>19</v>
      </c>
      <c r="F439" s="4" t="n">
        <v>7</v>
      </c>
      <c r="G439" s="4" t="n">
        <v>24</v>
      </c>
      <c r="H439" s="4" t="n">
        <v>27.6</v>
      </c>
      <c r="I439" s="4" t="n">
        <v>2</v>
      </c>
      <c r="J439" s="4" t="n">
        <f aca="false">G439+I439</f>
        <v>26</v>
      </c>
      <c r="K439" s="4" t="n">
        <f aca="false">IF(H439&lt;=0,"",ROUND(J439/(H439/45),0))</f>
        <v>42</v>
      </c>
    </row>
    <row r="440" customFormat="false" ht="15" hidden="false" customHeight="false" outlineLevel="0" collapsed="false">
      <c r="A440" s="4" t="s">
        <v>246</v>
      </c>
      <c r="B440" s="4" t="s">
        <v>247</v>
      </c>
      <c r="C440" s="4" t="s">
        <v>248</v>
      </c>
      <c r="D440" s="4" t="s">
        <v>40</v>
      </c>
      <c r="E440" s="4" t="s">
        <v>19</v>
      </c>
      <c r="F440" s="4" t="n">
        <v>13</v>
      </c>
      <c r="G440" s="4" t="n">
        <v>8</v>
      </c>
      <c r="H440" s="4" t="n">
        <v>43.1</v>
      </c>
      <c r="I440" s="4" t="n">
        <v>6</v>
      </c>
      <c r="J440" s="4" t="n">
        <f aca="false">G440+I440</f>
        <v>14</v>
      </c>
      <c r="K440" s="4" t="n">
        <f aca="false">IF(H440&lt;=0,"",ROUND(J440/(H440/45),0))</f>
        <v>15</v>
      </c>
    </row>
    <row r="441" customFormat="false" ht="15" hidden="false" customHeight="false" outlineLevel="0" collapsed="false">
      <c r="A441" s="4" t="s">
        <v>249</v>
      </c>
      <c r="B441" s="4" t="s">
        <v>250</v>
      </c>
      <c r="C441" s="4" t="s">
        <v>251</v>
      </c>
      <c r="D441" s="4" t="s">
        <v>82</v>
      </c>
      <c r="E441" s="4" t="s">
        <v>19</v>
      </c>
      <c r="F441" s="4" t="n">
        <v>0</v>
      </c>
      <c r="G441" s="4" t="n">
        <v>0</v>
      </c>
      <c r="H441" s="4" t="n">
        <v>6.2</v>
      </c>
      <c r="I441" s="4" t="n">
        <v>3</v>
      </c>
      <c r="J441" s="4" t="n">
        <f aca="false">G441+I441</f>
        <v>3</v>
      </c>
      <c r="K441" s="4" t="n">
        <f aca="false">IF(H441&lt;=0,"",ROUND(J441/(H441/45),0))</f>
        <v>22</v>
      </c>
    </row>
    <row r="442" customFormat="false" ht="15" hidden="false" customHeight="false" outlineLevel="0" collapsed="false">
      <c r="A442" s="4" t="s">
        <v>249</v>
      </c>
      <c r="B442" s="4" t="s">
        <v>250</v>
      </c>
      <c r="C442" s="4" t="s">
        <v>251</v>
      </c>
      <c r="D442" s="4" t="s">
        <v>74</v>
      </c>
      <c r="E442" s="4" t="s">
        <v>19</v>
      </c>
      <c r="F442" s="4" t="n">
        <v>6</v>
      </c>
      <c r="G442" s="4" t="n">
        <v>0</v>
      </c>
      <c r="H442" s="4" t="n">
        <v>23.7</v>
      </c>
      <c r="I442" s="4" t="n">
        <v>2</v>
      </c>
      <c r="J442" s="4" t="n">
        <f aca="false">G442+I442</f>
        <v>2</v>
      </c>
      <c r="K442" s="4" t="n">
        <f aca="false">IF(H442&lt;=0,"",ROUND(J442/(H442/45),0))</f>
        <v>4</v>
      </c>
    </row>
    <row r="443" customFormat="false" ht="15" hidden="false" customHeight="false" outlineLevel="0" collapsed="false">
      <c r="A443" s="4" t="s">
        <v>249</v>
      </c>
      <c r="B443" s="4" t="s">
        <v>250</v>
      </c>
      <c r="C443" s="4" t="s">
        <v>251</v>
      </c>
      <c r="D443" s="4" t="s">
        <v>30</v>
      </c>
      <c r="E443" s="4" t="s">
        <v>19</v>
      </c>
      <c r="F443" s="4" t="n">
        <v>0</v>
      </c>
      <c r="G443" s="4" t="n">
        <v>0</v>
      </c>
      <c r="H443" s="4" t="n">
        <v>8.4</v>
      </c>
      <c r="I443" s="4" t="n">
        <v>4</v>
      </c>
      <c r="J443" s="4" t="n">
        <f aca="false">G443+I443</f>
        <v>4</v>
      </c>
      <c r="K443" s="4" t="n">
        <f aca="false">IF(H443&lt;=0,"",ROUND(J443/(H443/45),0))</f>
        <v>21</v>
      </c>
    </row>
    <row r="444" customFormat="false" ht="15" hidden="false" customHeight="false" outlineLevel="0" collapsed="false">
      <c r="A444" s="4" t="s">
        <v>249</v>
      </c>
      <c r="B444" s="4" t="s">
        <v>250</v>
      </c>
      <c r="C444" s="4" t="s">
        <v>251</v>
      </c>
      <c r="D444" s="4" t="s">
        <v>182</v>
      </c>
      <c r="E444" s="4" t="s">
        <v>19</v>
      </c>
      <c r="F444" s="4" t="n">
        <v>4</v>
      </c>
      <c r="G444" s="4" t="n">
        <v>0</v>
      </c>
      <c r="H444" s="4" t="n">
        <v>16.3</v>
      </c>
      <c r="I444" s="4" t="n">
        <v>2</v>
      </c>
      <c r="J444" s="4" t="n">
        <f aca="false">G444+I444</f>
        <v>2</v>
      </c>
      <c r="K444" s="4" t="n">
        <f aca="false">IF(H444&lt;=0,"",ROUND(J444/(H444/45),0))</f>
        <v>6</v>
      </c>
    </row>
    <row r="445" customFormat="false" ht="15" hidden="false" customHeight="false" outlineLevel="0" collapsed="false">
      <c r="A445" s="4" t="s">
        <v>249</v>
      </c>
      <c r="B445" s="4" t="s">
        <v>250</v>
      </c>
      <c r="C445" s="4" t="s">
        <v>251</v>
      </c>
      <c r="D445" s="4" t="s">
        <v>31</v>
      </c>
      <c r="E445" s="4" t="s">
        <v>19</v>
      </c>
      <c r="F445" s="4" t="n">
        <v>15</v>
      </c>
      <c r="G445" s="4" t="n">
        <v>1</v>
      </c>
      <c r="H445" s="4" t="n">
        <v>54.1</v>
      </c>
      <c r="I445" s="4" t="n">
        <v>2</v>
      </c>
      <c r="J445" s="4" t="n">
        <f aca="false">G445+I445</f>
        <v>3</v>
      </c>
      <c r="K445" s="4" t="n">
        <f aca="false">IF(H445&lt;=0,"",ROUND(J445/(H445/45),0))</f>
        <v>2</v>
      </c>
    </row>
    <row r="446" customFormat="false" ht="15" hidden="false" customHeight="false" outlineLevel="0" collapsed="false">
      <c r="A446" s="4" t="s">
        <v>249</v>
      </c>
      <c r="B446" s="4" t="s">
        <v>250</v>
      </c>
      <c r="C446" s="4" t="s">
        <v>251</v>
      </c>
      <c r="D446" s="4" t="s">
        <v>75</v>
      </c>
      <c r="E446" s="4" t="s">
        <v>19</v>
      </c>
      <c r="F446" s="4" t="n">
        <v>0</v>
      </c>
      <c r="G446" s="4" t="n">
        <v>0</v>
      </c>
      <c r="H446" s="4" t="n">
        <v>6.9</v>
      </c>
      <c r="I446" s="4" t="n">
        <v>4</v>
      </c>
      <c r="J446" s="4" t="n">
        <f aca="false">G446+I446</f>
        <v>4</v>
      </c>
      <c r="K446" s="4" t="n">
        <f aca="false">IF(H446&lt;=0,"",ROUND(J446/(H446/45),0))</f>
        <v>26</v>
      </c>
    </row>
    <row r="447" customFormat="false" ht="15" hidden="false" customHeight="false" outlineLevel="0" collapsed="false">
      <c r="A447" s="4" t="s">
        <v>249</v>
      </c>
      <c r="B447" s="4" t="s">
        <v>250</v>
      </c>
      <c r="C447" s="4" t="s">
        <v>251</v>
      </c>
      <c r="D447" s="4" t="s">
        <v>76</v>
      </c>
      <c r="E447" s="4" t="s">
        <v>19</v>
      </c>
      <c r="F447" s="4" t="n">
        <v>1</v>
      </c>
      <c r="G447" s="4" t="n">
        <v>0</v>
      </c>
      <c r="H447" s="4" t="n">
        <v>6.7</v>
      </c>
      <c r="I447" s="4" t="n">
        <v>3</v>
      </c>
      <c r="J447" s="4" t="n">
        <f aca="false">G447+I447</f>
        <v>3</v>
      </c>
      <c r="K447" s="4" t="n">
        <f aca="false">IF(H447&lt;=0,"",ROUND(J447/(H447/45),0))</f>
        <v>20</v>
      </c>
    </row>
    <row r="448" customFormat="false" ht="15" hidden="false" customHeight="false" outlineLevel="0" collapsed="false">
      <c r="A448" s="3" t="s">
        <v>249</v>
      </c>
      <c r="B448" s="3" t="s">
        <v>250</v>
      </c>
      <c r="C448" s="3" t="s">
        <v>251</v>
      </c>
      <c r="D448" s="3" t="s">
        <v>15</v>
      </c>
      <c r="E448" s="3" t="s">
        <v>16</v>
      </c>
      <c r="F448" s="3" t="s">
        <v>17</v>
      </c>
      <c r="G448" s="3" t="s">
        <v>17</v>
      </c>
      <c r="H448" s="3" t="s">
        <v>17</v>
      </c>
      <c r="I448" s="3" t="n">
        <v>52</v>
      </c>
      <c r="J448" s="3" t="s">
        <v>17</v>
      </c>
      <c r="K448" s="3" t="s">
        <v>17</v>
      </c>
    </row>
    <row r="449" customFormat="false" ht="15" hidden="false" customHeight="false" outlineLevel="0" collapsed="false">
      <c r="A449" s="4" t="s">
        <v>249</v>
      </c>
      <c r="B449" s="4" t="s">
        <v>250</v>
      </c>
      <c r="C449" s="4" t="s">
        <v>251</v>
      </c>
      <c r="D449" s="4" t="s">
        <v>32</v>
      </c>
      <c r="E449" s="4" t="s">
        <v>19</v>
      </c>
      <c r="F449" s="4" t="n">
        <v>3</v>
      </c>
      <c r="G449" s="4" t="n">
        <v>0</v>
      </c>
      <c r="H449" s="4" t="n">
        <v>16.2</v>
      </c>
      <c r="I449" s="4" t="n">
        <v>8</v>
      </c>
      <c r="J449" s="4" t="n">
        <f aca="false">G449+I449</f>
        <v>8</v>
      </c>
      <c r="K449" s="4" t="n">
        <f aca="false">IF(H449&lt;=0,"",ROUND(J449/(H449/45),0))</f>
        <v>22</v>
      </c>
    </row>
    <row r="450" customFormat="false" ht="15" hidden="false" customHeight="false" outlineLevel="0" collapsed="false">
      <c r="A450" s="3" t="s">
        <v>249</v>
      </c>
      <c r="B450" s="3" t="s">
        <v>250</v>
      </c>
      <c r="C450" s="3" t="s">
        <v>251</v>
      </c>
      <c r="D450" s="3" t="s">
        <v>33</v>
      </c>
      <c r="E450" s="3" t="s">
        <v>16</v>
      </c>
      <c r="F450" s="3" t="s">
        <v>17</v>
      </c>
      <c r="G450" s="3" t="s">
        <v>17</v>
      </c>
      <c r="H450" s="3" t="s">
        <v>17</v>
      </c>
      <c r="I450" s="3" t="n">
        <v>24</v>
      </c>
      <c r="J450" s="3" t="s">
        <v>17</v>
      </c>
      <c r="K450" s="3" t="s">
        <v>17</v>
      </c>
    </row>
    <row r="451" customFormat="false" ht="15" hidden="false" customHeight="false" outlineLevel="0" collapsed="false">
      <c r="A451" s="4" t="s">
        <v>249</v>
      </c>
      <c r="B451" s="4" t="s">
        <v>250</v>
      </c>
      <c r="C451" s="4" t="s">
        <v>251</v>
      </c>
      <c r="D451" s="4" t="s">
        <v>34</v>
      </c>
      <c r="E451" s="4" t="s">
        <v>19</v>
      </c>
      <c r="F451" s="4" t="n">
        <v>1</v>
      </c>
      <c r="G451" s="4" t="n">
        <v>0</v>
      </c>
      <c r="H451" s="4" t="n">
        <v>8.4</v>
      </c>
      <c r="I451" s="4" t="n">
        <v>4</v>
      </c>
      <c r="J451" s="4" t="n">
        <f aca="false">G451+I451</f>
        <v>4</v>
      </c>
      <c r="K451" s="4" t="n">
        <f aca="false">IF(H451&lt;=0,"",ROUND(J451/(H451/45),0))</f>
        <v>21</v>
      </c>
    </row>
    <row r="452" customFormat="false" ht="15" hidden="false" customHeight="false" outlineLevel="0" collapsed="false">
      <c r="A452" s="4" t="s">
        <v>249</v>
      </c>
      <c r="B452" s="4" t="s">
        <v>250</v>
      </c>
      <c r="C452" s="4" t="s">
        <v>251</v>
      </c>
      <c r="D452" s="4" t="s">
        <v>53</v>
      </c>
      <c r="E452" s="4" t="s">
        <v>19</v>
      </c>
      <c r="F452" s="4" t="n">
        <v>0</v>
      </c>
      <c r="G452" s="4" t="n">
        <v>0</v>
      </c>
      <c r="H452" s="4" t="n">
        <v>14.9</v>
      </c>
      <c r="I452" s="4" t="n">
        <v>8</v>
      </c>
      <c r="J452" s="4" t="n">
        <f aca="false">G452+I452</f>
        <v>8</v>
      </c>
      <c r="K452" s="4" t="n">
        <f aca="false">IF(H452&lt;=0,"",ROUND(J452/(H452/45),0))</f>
        <v>24</v>
      </c>
    </row>
    <row r="453" customFormat="false" ht="15" hidden="false" customHeight="false" outlineLevel="0" collapsed="false">
      <c r="A453" s="4" t="s">
        <v>249</v>
      </c>
      <c r="B453" s="4" t="s">
        <v>250</v>
      </c>
      <c r="C453" s="4" t="s">
        <v>251</v>
      </c>
      <c r="D453" s="4" t="s">
        <v>35</v>
      </c>
      <c r="E453" s="4" t="s">
        <v>19</v>
      </c>
      <c r="F453" s="4" t="n">
        <v>1</v>
      </c>
      <c r="G453" s="4" t="n">
        <v>0</v>
      </c>
      <c r="H453" s="4" t="n">
        <v>7.2</v>
      </c>
      <c r="I453" s="4" t="n">
        <v>4</v>
      </c>
      <c r="J453" s="4" t="n">
        <f aca="false">G453+I453</f>
        <v>4</v>
      </c>
      <c r="K453" s="4" t="n">
        <f aca="false">IF(H453&lt;=0,"",ROUND(J453/(H453/45),0))</f>
        <v>25</v>
      </c>
    </row>
    <row r="454" customFormat="false" ht="15" hidden="false" customHeight="false" outlineLevel="0" collapsed="false">
      <c r="A454" s="4" t="s">
        <v>249</v>
      </c>
      <c r="B454" s="4" t="s">
        <v>250</v>
      </c>
      <c r="C454" s="4" t="s">
        <v>251</v>
      </c>
      <c r="D454" s="4" t="s">
        <v>78</v>
      </c>
      <c r="E454" s="4" t="s">
        <v>19</v>
      </c>
      <c r="F454" s="4" t="n">
        <v>1</v>
      </c>
      <c r="G454" s="4" t="n">
        <v>0</v>
      </c>
      <c r="H454" s="4" t="n">
        <v>6.8</v>
      </c>
      <c r="I454" s="4" t="n">
        <v>4</v>
      </c>
      <c r="J454" s="4" t="n">
        <f aca="false">G454+I454</f>
        <v>4</v>
      </c>
      <c r="K454" s="4" t="n">
        <f aca="false">IF(H454&lt;=0,"",ROUND(J454/(H454/45),0))</f>
        <v>26</v>
      </c>
    </row>
    <row r="455" customFormat="false" ht="15" hidden="false" customHeight="false" outlineLevel="0" collapsed="false">
      <c r="A455" s="4" t="s">
        <v>249</v>
      </c>
      <c r="B455" s="4" t="s">
        <v>250</v>
      </c>
      <c r="C455" s="4" t="s">
        <v>251</v>
      </c>
      <c r="D455" s="4" t="s">
        <v>18</v>
      </c>
      <c r="E455" s="4" t="s">
        <v>19</v>
      </c>
      <c r="F455" s="4" t="n">
        <v>0</v>
      </c>
      <c r="G455" s="4" t="n">
        <v>0</v>
      </c>
      <c r="H455" s="4" t="n">
        <v>11.4</v>
      </c>
      <c r="I455" s="4" t="n">
        <v>2</v>
      </c>
      <c r="J455" s="4" t="n">
        <f aca="false">G455+I455</f>
        <v>2</v>
      </c>
      <c r="K455" s="4" t="n">
        <f aca="false">IF(H455&lt;=0,"",ROUND(J455/(H455/45),0))</f>
        <v>8</v>
      </c>
    </row>
    <row r="456" customFormat="false" ht="15" hidden="false" customHeight="false" outlineLevel="0" collapsed="false">
      <c r="A456" s="4" t="s">
        <v>249</v>
      </c>
      <c r="B456" s="4" t="s">
        <v>250</v>
      </c>
      <c r="C456" s="4" t="s">
        <v>251</v>
      </c>
      <c r="D456" s="4" t="s">
        <v>70</v>
      </c>
      <c r="E456" s="4" t="s">
        <v>19</v>
      </c>
      <c r="F456" s="4" t="n">
        <v>1</v>
      </c>
      <c r="G456" s="4" t="n">
        <v>0</v>
      </c>
      <c r="H456" s="4" t="n">
        <v>11.9</v>
      </c>
      <c r="I456" s="4" t="n">
        <v>6</v>
      </c>
      <c r="J456" s="4" t="n">
        <f aca="false">G456+I456</f>
        <v>6</v>
      </c>
      <c r="K456" s="4" t="n">
        <f aca="false">IF(H456&lt;=0,"",ROUND(J456/(H456/45),0))</f>
        <v>23</v>
      </c>
    </row>
    <row r="457" customFormat="false" ht="15" hidden="false" customHeight="false" outlineLevel="0" collapsed="false">
      <c r="A457" s="4" t="s">
        <v>249</v>
      </c>
      <c r="B457" s="4" t="s">
        <v>250</v>
      </c>
      <c r="C457" s="4" t="s">
        <v>251</v>
      </c>
      <c r="D457" s="4" t="s">
        <v>40</v>
      </c>
      <c r="E457" s="4" t="s">
        <v>19</v>
      </c>
      <c r="F457" s="4" t="n">
        <v>9</v>
      </c>
      <c r="G457" s="4" t="n">
        <v>0</v>
      </c>
      <c r="H457" s="4" t="n">
        <v>38.6</v>
      </c>
      <c r="I457" s="4" t="n">
        <v>2</v>
      </c>
      <c r="J457" s="4" t="n">
        <f aca="false">G457+I457</f>
        <v>2</v>
      </c>
      <c r="K457" s="4" t="n">
        <f aca="false">IF(H457&lt;=0,"",ROUND(J457/(H457/45),0))</f>
        <v>2</v>
      </c>
    </row>
    <row r="458" customFormat="false" ht="15" hidden="false" customHeight="false" outlineLevel="0" collapsed="false">
      <c r="A458" s="4" t="s">
        <v>252</v>
      </c>
      <c r="B458" s="4" t="s">
        <v>253</v>
      </c>
      <c r="C458" s="4" t="s">
        <v>254</v>
      </c>
      <c r="D458" s="4" t="s">
        <v>82</v>
      </c>
      <c r="E458" s="4" t="s">
        <v>19</v>
      </c>
      <c r="F458" s="4" t="n">
        <v>6</v>
      </c>
      <c r="G458" s="4" t="n">
        <v>18</v>
      </c>
      <c r="H458" s="4" t="n">
        <v>22.7</v>
      </c>
      <c r="I458" s="4" t="n">
        <v>3</v>
      </c>
      <c r="J458" s="4" t="n">
        <f aca="false">G458+I458</f>
        <v>21</v>
      </c>
      <c r="K458" s="4" t="n">
        <f aca="false">IF(H458&lt;=0,"",ROUND(J458/(H458/45),0))</f>
        <v>42</v>
      </c>
    </row>
    <row r="459" customFormat="false" ht="15" hidden="false" customHeight="false" outlineLevel="0" collapsed="false">
      <c r="A459" s="4" t="s">
        <v>252</v>
      </c>
      <c r="B459" s="4" t="s">
        <v>253</v>
      </c>
      <c r="C459" s="4" t="s">
        <v>254</v>
      </c>
      <c r="D459" s="4" t="s">
        <v>74</v>
      </c>
      <c r="E459" s="4" t="s">
        <v>19</v>
      </c>
      <c r="F459" s="4" t="n">
        <v>5</v>
      </c>
      <c r="G459" s="4" t="n">
        <v>0</v>
      </c>
      <c r="H459" s="4" t="n">
        <v>17.8</v>
      </c>
      <c r="I459" s="4" t="n">
        <v>2</v>
      </c>
      <c r="J459" s="4" t="n">
        <f aca="false">G459+I459</f>
        <v>2</v>
      </c>
      <c r="K459" s="4" t="n">
        <f aca="false">IF(H459&lt;=0,"",ROUND(J459/(H459/45),0))</f>
        <v>5</v>
      </c>
    </row>
    <row r="460" customFormat="false" ht="15" hidden="false" customHeight="false" outlineLevel="0" collapsed="false">
      <c r="A460" s="4" t="s">
        <v>252</v>
      </c>
      <c r="B460" s="4" t="s">
        <v>253</v>
      </c>
      <c r="C460" s="4" t="s">
        <v>254</v>
      </c>
      <c r="D460" s="4" t="s">
        <v>30</v>
      </c>
      <c r="E460" s="4" t="s">
        <v>19</v>
      </c>
      <c r="F460" s="4" t="n">
        <v>1</v>
      </c>
      <c r="G460" s="4" t="n">
        <v>0</v>
      </c>
      <c r="H460" s="4" t="n">
        <v>6.2</v>
      </c>
      <c r="I460" s="4" t="n">
        <v>4</v>
      </c>
      <c r="J460" s="4" t="n">
        <f aca="false">G460+I460</f>
        <v>4</v>
      </c>
      <c r="K460" s="4" t="n">
        <f aca="false">IF(H460&lt;=0,"",ROUND(J460/(H460/45),0))</f>
        <v>29</v>
      </c>
    </row>
    <row r="461" customFormat="false" ht="15" hidden="false" customHeight="false" outlineLevel="0" collapsed="false">
      <c r="A461" s="4" t="s">
        <v>252</v>
      </c>
      <c r="B461" s="4" t="s">
        <v>253</v>
      </c>
      <c r="C461" s="4" t="s">
        <v>254</v>
      </c>
      <c r="D461" s="4" t="s">
        <v>182</v>
      </c>
      <c r="E461" s="4" t="s">
        <v>19</v>
      </c>
      <c r="F461" s="4" t="n">
        <v>1</v>
      </c>
      <c r="G461" s="4" t="n">
        <v>0</v>
      </c>
      <c r="H461" s="4" t="n">
        <v>6.3</v>
      </c>
      <c r="I461" s="4" t="n">
        <v>2</v>
      </c>
      <c r="J461" s="4" t="n">
        <f aca="false">G461+I461</f>
        <v>2</v>
      </c>
      <c r="K461" s="4" t="n">
        <f aca="false">IF(H461&lt;=0,"",ROUND(J461/(H461/45),0))</f>
        <v>14</v>
      </c>
    </row>
    <row r="462" customFormat="false" ht="15" hidden="false" customHeight="false" outlineLevel="0" collapsed="false">
      <c r="A462" s="4" t="s">
        <v>252</v>
      </c>
      <c r="B462" s="4" t="s">
        <v>253</v>
      </c>
      <c r="C462" s="4" t="s">
        <v>254</v>
      </c>
      <c r="D462" s="4" t="s">
        <v>31</v>
      </c>
      <c r="E462" s="4" t="s">
        <v>19</v>
      </c>
      <c r="F462" s="4" t="n">
        <v>1</v>
      </c>
      <c r="G462" s="4" t="n">
        <v>0</v>
      </c>
      <c r="H462" s="4" t="n">
        <v>10.2</v>
      </c>
      <c r="I462" s="4" t="n">
        <v>2</v>
      </c>
      <c r="J462" s="4" t="n">
        <f aca="false">G462+I462</f>
        <v>2</v>
      </c>
      <c r="K462" s="4" t="n">
        <f aca="false">IF(H462&lt;=0,"",ROUND(J462/(H462/45),0))</f>
        <v>9</v>
      </c>
    </row>
    <row r="463" customFormat="false" ht="15" hidden="false" customHeight="false" outlineLevel="0" collapsed="false">
      <c r="A463" s="3" t="s">
        <v>252</v>
      </c>
      <c r="B463" s="3" t="s">
        <v>253</v>
      </c>
      <c r="C463" s="3" t="s">
        <v>254</v>
      </c>
      <c r="D463" s="3" t="s">
        <v>15</v>
      </c>
      <c r="E463" s="3" t="s">
        <v>16</v>
      </c>
      <c r="F463" s="3" t="s">
        <v>17</v>
      </c>
      <c r="G463" s="3" t="s">
        <v>17</v>
      </c>
      <c r="H463" s="3" t="s">
        <v>17</v>
      </c>
      <c r="I463" s="3" t="n">
        <v>18</v>
      </c>
      <c r="J463" s="3" t="s">
        <v>17</v>
      </c>
      <c r="K463" s="3" t="s">
        <v>17</v>
      </c>
    </row>
    <row r="464" customFormat="false" ht="15" hidden="false" customHeight="false" outlineLevel="0" collapsed="false">
      <c r="A464" s="3" t="s">
        <v>252</v>
      </c>
      <c r="B464" s="3" t="s">
        <v>253</v>
      </c>
      <c r="C464" s="3" t="s">
        <v>254</v>
      </c>
      <c r="D464" s="3" t="s">
        <v>33</v>
      </c>
      <c r="E464" s="3" t="s">
        <v>16</v>
      </c>
      <c r="F464" s="3" t="s">
        <v>17</v>
      </c>
      <c r="G464" s="3" t="s">
        <v>17</v>
      </c>
      <c r="H464" s="3" t="s">
        <v>17</v>
      </c>
      <c r="I464" s="3" t="n">
        <v>8</v>
      </c>
      <c r="J464" s="3" t="s">
        <v>17</v>
      </c>
      <c r="K464" s="3" t="s">
        <v>17</v>
      </c>
    </row>
    <row r="465" customFormat="false" ht="15" hidden="false" customHeight="false" outlineLevel="0" collapsed="false">
      <c r="A465" s="4" t="s">
        <v>252</v>
      </c>
      <c r="B465" s="4" t="s">
        <v>253</v>
      </c>
      <c r="C465" s="4" t="s">
        <v>254</v>
      </c>
      <c r="D465" s="4" t="s">
        <v>66</v>
      </c>
      <c r="E465" s="4" t="s">
        <v>19</v>
      </c>
      <c r="F465" s="4" t="n">
        <v>2</v>
      </c>
      <c r="G465" s="4" t="n">
        <v>6</v>
      </c>
      <c r="H465" s="4" t="n">
        <v>10.8</v>
      </c>
      <c r="I465" s="4" t="n">
        <v>3</v>
      </c>
      <c r="J465" s="4" t="n">
        <f aca="false">G465+I465</f>
        <v>9</v>
      </c>
      <c r="K465" s="4" t="n">
        <f aca="false">IF(H465&lt;=0,"",ROUND(J465/(H465/45),0))</f>
        <v>38</v>
      </c>
    </row>
    <row r="466" customFormat="false" ht="15" hidden="false" customHeight="false" outlineLevel="0" collapsed="false">
      <c r="A466" s="4" t="s">
        <v>252</v>
      </c>
      <c r="B466" s="4" t="s">
        <v>253</v>
      </c>
      <c r="C466" s="4" t="s">
        <v>254</v>
      </c>
      <c r="D466" s="4" t="s">
        <v>53</v>
      </c>
      <c r="E466" s="4" t="s">
        <v>19</v>
      </c>
      <c r="F466" s="4" t="n">
        <v>9</v>
      </c>
      <c r="G466" s="4" t="n">
        <v>8</v>
      </c>
      <c r="H466" s="4" t="n">
        <v>30.8</v>
      </c>
      <c r="I466" s="4" t="n">
        <v>15</v>
      </c>
      <c r="J466" s="4" t="n">
        <f aca="false">G466+I466</f>
        <v>23</v>
      </c>
      <c r="K466" s="4" t="n">
        <f aca="false">IF(H466&lt;=0,"",ROUND(J466/(H466/45),0))</f>
        <v>34</v>
      </c>
    </row>
    <row r="467" customFormat="false" ht="15" hidden="false" customHeight="false" outlineLevel="0" collapsed="false">
      <c r="A467" s="4" t="s">
        <v>252</v>
      </c>
      <c r="B467" s="4" t="s">
        <v>253</v>
      </c>
      <c r="C467" s="4" t="s">
        <v>254</v>
      </c>
      <c r="D467" s="4" t="s">
        <v>35</v>
      </c>
      <c r="E467" s="4" t="s">
        <v>19</v>
      </c>
      <c r="F467" s="4" t="n">
        <v>2</v>
      </c>
      <c r="G467" s="4" t="n">
        <v>3</v>
      </c>
      <c r="H467" s="4" t="n">
        <v>8.4</v>
      </c>
      <c r="I467" s="4" t="n">
        <v>3</v>
      </c>
      <c r="J467" s="4" t="n">
        <f aca="false">G467+I467</f>
        <v>6</v>
      </c>
      <c r="K467" s="4" t="n">
        <f aca="false">IF(H467&lt;=0,"",ROUND(J467/(H467/45),0))</f>
        <v>32</v>
      </c>
    </row>
    <row r="468" customFormat="false" ht="15" hidden="false" customHeight="false" outlineLevel="0" collapsed="false">
      <c r="A468" s="4" t="s">
        <v>252</v>
      </c>
      <c r="B468" s="4" t="s">
        <v>253</v>
      </c>
      <c r="C468" s="4" t="s">
        <v>254</v>
      </c>
      <c r="D468" s="4" t="s">
        <v>18</v>
      </c>
      <c r="E468" s="4" t="s">
        <v>19</v>
      </c>
      <c r="F468" s="4" t="n">
        <v>3</v>
      </c>
      <c r="G468" s="4" t="n">
        <v>5</v>
      </c>
      <c r="H468" s="4" t="n">
        <v>16.3</v>
      </c>
      <c r="I468" s="4" t="n">
        <v>2</v>
      </c>
      <c r="J468" s="4" t="n">
        <f aca="false">G468+I468</f>
        <v>7</v>
      </c>
      <c r="K468" s="4" t="n">
        <f aca="false">IF(H468&lt;=0,"",ROUND(J468/(H468/45),0))</f>
        <v>19</v>
      </c>
    </row>
    <row r="469" customFormat="false" ht="15" hidden="false" customHeight="false" outlineLevel="0" collapsed="false">
      <c r="A469" s="4" t="s">
        <v>252</v>
      </c>
      <c r="B469" s="4" t="s">
        <v>253</v>
      </c>
      <c r="C469" s="4" t="s">
        <v>254</v>
      </c>
      <c r="D469" s="4" t="s">
        <v>39</v>
      </c>
      <c r="E469" s="4" t="s">
        <v>19</v>
      </c>
      <c r="F469" s="4" t="n">
        <v>1</v>
      </c>
      <c r="G469" s="4" t="n">
        <v>1</v>
      </c>
      <c r="H469" s="4" t="n">
        <v>12.4</v>
      </c>
      <c r="I469" s="4" t="n">
        <v>7</v>
      </c>
      <c r="J469" s="4" t="n">
        <f aca="false">G469+I469</f>
        <v>8</v>
      </c>
      <c r="K469" s="4" t="n">
        <f aca="false">IF(H469&lt;=0,"",ROUND(J469/(H469/45),0))</f>
        <v>29</v>
      </c>
    </row>
    <row r="470" customFormat="false" ht="15" hidden="false" customHeight="false" outlineLevel="0" collapsed="false">
      <c r="A470" s="4" t="s">
        <v>252</v>
      </c>
      <c r="B470" s="4" t="s">
        <v>253</v>
      </c>
      <c r="C470" s="4" t="s">
        <v>254</v>
      </c>
      <c r="D470" s="4" t="s">
        <v>70</v>
      </c>
      <c r="E470" s="4" t="s">
        <v>19</v>
      </c>
      <c r="F470" s="4" t="n">
        <v>2</v>
      </c>
      <c r="G470" s="4" t="n">
        <v>6</v>
      </c>
      <c r="H470" s="4" t="n">
        <v>8.8</v>
      </c>
      <c r="I470" s="4" t="n">
        <v>2</v>
      </c>
      <c r="J470" s="4" t="n">
        <f aca="false">G470+I470</f>
        <v>8</v>
      </c>
      <c r="K470" s="4" t="n">
        <f aca="false">IF(H470&lt;=0,"",ROUND(J470/(H470/45),0))</f>
        <v>41</v>
      </c>
    </row>
    <row r="471" customFormat="false" ht="15" hidden="false" customHeight="false" outlineLevel="0" collapsed="false">
      <c r="A471" s="4" t="s">
        <v>252</v>
      </c>
      <c r="B471" s="4" t="s">
        <v>253</v>
      </c>
      <c r="C471" s="4" t="s">
        <v>254</v>
      </c>
      <c r="D471" s="4" t="s">
        <v>40</v>
      </c>
      <c r="E471" s="4" t="s">
        <v>19</v>
      </c>
      <c r="F471" s="4" t="n">
        <v>2</v>
      </c>
      <c r="G471" s="4" t="n">
        <v>0</v>
      </c>
      <c r="H471" s="4" t="n">
        <v>14.1</v>
      </c>
      <c r="I471" s="4" t="n">
        <v>9</v>
      </c>
      <c r="J471" s="4" t="n">
        <f aca="false">G471+I471</f>
        <v>9</v>
      </c>
      <c r="K471" s="4" t="n">
        <f aca="false">IF(H471&lt;=0,"",ROUND(J471/(H471/45),0))</f>
        <v>29</v>
      </c>
    </row>
    <row r="472" customFormat="false" ht="15" hidden="false" customHeight="false" outlineLevel="0" collapsed="false">
      <c r="A472" s="4" t="s">
        <v>255</v>
      </c>
      <c r="B472" s="4" t="s">
        <v>256</v>
      </c>
      <c r="C472" s="4" t="s">
        <v>257</v>
      </c>
      <c r="D472" s="4" t="s">
        <v>30</v>
      </c>
      <c r="E472" s="4" t="s">
        <v>19</v>
      </c>
      <c r="F472" s="4" t="n">
        <v>3</v>
      </c>
      <c r="G472" s="4" t="n">
        <v>3</v>
      </c>
      <c r="H472" s="4" t="n">
        <v>9</v>
      </c>
      <c r="I472" s="4" t="n">
        <v>6</v>
      </c>
      <c r="J472" s="4" t="n">
        <f aca="false">G472+I472</f>
        <v>9</v>
      </c>
      <c r="K472" s="4" t="n">
        <f aca="false">IF(H472&lt;=0,"",ROUND(J472/(H472/45),0))</f>
        <v>45</v>
      </c>
    </row>
    <row r="473" customFormat="false" ht="15" hidden="false" customHeight="false" outlineLevel="0" collapsed="false">
      <c r="A473" s="4" t="s">
        <v>255</v>
      </c>
      <c r="B473" s="4" t="s">
        <v>256</v>
      </c>
      <c r="C473" s="4" t="s">
        <v>257</v>
      </c>
      <c r="D473" s="4" t="s">
        <v>18</v>
      </c>
      <c r="E473" s="4" t="s">
        <v>19</v>
      </c>
      <c r="F473" s="4" t="n">
        <v>0</v>
      </c>
      <c r="G473" s="4" t="n">
        <v>1</v>
      </c>
      <c r="H473" s="4" t="n">
        <v>6</v>
      </c>
      <c r="I473" s="4" t="n">
        <v>5</v>
      </c>
      <c r="J473" s="4" t="n">
        <f aca="false">G473+I473</f>
        <v>6</v>
      </c>
      <c r="K473" s="4" t="n">
        <f aca="false">IF(H473&lt;=0,"",ROUND(J473/(H473/45),0))</f>
        <v>45</v>
      </c>
    </row>
    <row r="474" customFormat="false" ht="15" hidden="false" customHeight="false" outlineLevel="0" collapsed="false">
      <c r="A474" s="4" t="s">
        <v>258</v>
      </c>
      <c r="B474" s="4" t="s">
        <v>259</v>
      </c>
      <c r="C474" s="4" t="s">
        <v>260</v>
      </c>
      <c r="D474" s="4" t="s">
        <v>18</v>
      </c>
      <c r="E474" s="4" t="s">
        <v>19</v>
      </c>
      <c r="F474" s="4" t="n">
        <v>0</v>
      </c>
      <c r="G474" s="4" t="n">
        <v>1</v>
      </c>
      <c r="H474" s="4" t="n">
        <v>6</v>
      </c>
      <c r="I474" s="4" t="n">
        <v>5</v>
      </c>
      <c r="J474" s="4" t="n">
        <f aca="false">G474+I474</f>
        <v>6</v>
      </c>
      <c r="K474" s="4" t="n">
        <f aca="false">IF(H474&lt;=0,"",ROUND(J474/(H474/45),0))</f>
        <v>45</v>
      </c>
    </row>
    <row r="475" customFormat="false" ht="15" hidden="false" customHeight="false" outlineLevel="0" collapsed="false">
      <c r="A475" s="4" t="s">
        <v>261</v>
      </c>
      <c r="B475" s="4" t="s">
        <v>262</v>
      </c>
      <c r="C475" s="4" t="s">
        <v>263</v>
      </c>
      <c r="D475" s="4" t="s">
        <v>30</v>
      </c>
      <c r="E475" s="4" t="s">
        <v>19</v>
      </c>
      <c r="F475" s="4" t="n">
        <v>0</v>
      </c>
      <c r="G475" s="4" t="n">
        <v>0</v>
      </c>
      <c r="H475" s="4" t="n">
        <v>6.8</v>
      </c>
      <c r="I475" s="4" t="n">
        <v>2</v>
      </c>
      <c r="J475" s="4" t="n">
        <f aca="false">G475+I475</f>
        <v>2</v>
      </c>
      <c r="K475" s="4" t="n">
        <f aca="false">IF(H475&lt;=0,"",ROUND(J475/(H475/45),0))</f>
        <v>13</v>
      </c>
    </row>
    <row r="476" customFormat="false" ht="15" hidden="false" customHeight="false" outlineLevel="0" collapsed="false">
      <c r="A476" s="4" t="s">
        <v>261</v>
      </c>
      <c r="B476" s="4" t="s">
        <v>262</v>
      </c>
      <c r="C476" s="4" t="s">
        <v>263</v>
      </c>
      <c r="D476" s="4" t="s">
        <v>18</v>
      </c>
      <c r="E476" s="4" t="s">
        <v>19</v>
      </c>
      <c r="F476" s="4" t="n">
        <v>0</v>
      </c>
      <c r="G476" s="4" t="n">
        <v>1</v>
      </c>
      <c r="H476" s="4" t="n">
        <v>8.7</v>
      </c>
      <c r="I476" s="4" t="n">
        <v>3</v>
      </c>
      <c r="J476" s="4" t="n">
        <f aca="false">G476+I476</f>
        <v>4</v>
      </c>
      <c r="K476" s="4" t="n">
        <f aca="false">IF(H476&lt;=0,"",ROUND(J476/(H476/45),0))</f>
        <v>21</v>
      </c>
    </row>
    <row r="477" customFormat="false" ht="15" hidden="false" customHeight="false" outlineLevel="0" collapsed="false">
      <c r="A477" s="4" t="s">
        <v>261</v>
      </c>
      <c r="B477" s="4" t="s">
        <v>262</v>
      </c>
      <c r="C477" s="4" t="s">
        <v>263</v>
      </c>
      <c r="D477" s="4" t="s">
        <v>39</v>
      </c>
      <c r="E477" s="4" t="s">
        <v>19</v>
      </c>
      <c r="F477" s="4" t="n">
        <v>0</v>
      </c>
      <c r="G477" s="4" t="n">
        <v>0</v>
      </c>
      <c r="H477" s="4" t="n">
        <v>7.8</v>
      </c>
      <c r="I477" s="4" t="n">
        <v>3</v>
      </c>
      <c r="J477" s="4" t="n">
        <f aca="false">G477+I477</f>
        <v>3</v>
      </c>
      <c r="K477" s="4" t="n">
        <f aca="false">IF(H477&lt;=0,"",ROUND(J477/(H477/45),0))</f>
        <v>17</v>
      </c>
    </row>
    <row r="478" customFormat="false" ht="15" hidden="false" customHeight="false" outlineLevel="0" collapsed="false">
      <c r="A478" s="4" t="s">
        <v>261</v>
      </c>
      <c r="B478" s="4" t="s">
        <v>262</v>
      </c>
      <c r="C478" s="4" t="s">
        <v>263</v>
      </c>
      <c r="D478" s="4" t="s">
        <v>40</v>
      </c>
      <c r="E478" s="4" t="s">
        <v>19</v>
      </c>
      <c r="F478" s="4" t="n">
        <v>0</v>
      </c>
      <c r="G478" s="4" t="n">
        <v>1</v>
      </c>
      <c r="H478" s="4" t="n">
        <v>7.8</v>
      </c>
      <c r="I478" s="4" t="n">
        <v>2</v>
      </c>
      <c r="J478" s="4" t="n">
        <f aca="false">G478+I478</f>
        <v>3</v>
      </c>
      <c r="K478" s="4" t="n">
        <f aca="false">IF(H478&lt;=0,"",ROUND(J478/(H478/45),0))</f>
        <v>17</v>
      </c>
    </row>
    <row r="479" customFormat="false" ht="15" hidden="false" customHeight="false" outlineLevel="0" collapsed="false">
      <c r="A479" s="4" t="s">
        <v>264</v>
      </c>
      <c r="B479" s="4" t="s">
        <v>265</v>
      </c>
      <c r="C479" s="4" t="s">
        <v>266</v>
      </c>
      <c r="D479" s="4" t="s">
        <v>74</v>
      </c>
      <c r="E479" s="4" t="s">
        <v>19</v>
      </c>
      <c r="F479" s="4" t="n">
        <v>0</v>
      </c>
      <c r="G479" s="4" t="n">
        <v>0</v>
      </c>
      <c r="H479" s="4" t="n">
        <v>6.1</v>
      </c>
      <c r="I479" s="4" t="n">
        <v>2</v>
      </c>
      <c r="J479" s="4" t="n">
        <f aca="false">G479+I479</f>
        <v>2</v>
      </c>
      <c r="K479" s="4" t="n">
        <f aca="false">IF(H479&lt;=0,"",ROUND(J479/(H479/45),0))</f>
        <v>15</v>
      </c>
    </row>
    <row r="480" customFormat="false" ht="15" hidden="false" customHeight="false" outlineLevel="0" collapsed="false">
      <c r="A480" s="4" t="s">
        <v>264</v>
      </c>
      <c r="B480" s="4" t="s">
        <v>265</v>
      </c>
      <c r="C480" s="4" t="s">
        <v>266</v>
      </c>
      <c r="D480" s="4" t="s">
        <v>30</v>
      </c>
      <c r="E480" s="4" t="s">
        <v>19</v>
      </c>
      <c r="F480" s="4" t="n">
        <v>0</v>
      </c>
      <c r="G480" s="4" t="n">
        <v>0</v>
      </c>
      <c r="H480" s="4" t="n">
        <v>9.4</v>
      </c>
      <c r="I480" s="4" t="n">
        <v>2</v>
      </c>
      <c r="J480" s="4" t="n">
        <f aca="false">G480+I480</f>
        <v>2</v>
      </c>
      <c r="K480" s="4" t="n">
        <f aca="false">IF(H480&lt;=0,"",ROUND(J480/(H480/45),0))</f>
        <v>10</v>
      </c>
    </row>
    <row r="481" customFormat="false" ht="15" hidden="false" customHeight="false" outlineLevel="0" collapsed="false">
      <c r="A481" s="4" t="s">
        <v>264</v>
      </c>
      <c r="B481" s="4" t="s">
        <v>265</v>
      </c>
      <c r="C481" s="4" t="s">
        <v>266</v>
      </c>
      <c r="D481" s="4" t="s">
        <v>31</v>
      </c>
      <c r="E481" s="4" t="s">
        <v>19</v>
      </c>
      <c r="F481" s="4" t="n">
        <v>0</v>
      </c>
      <c r="G481" s="4" t="n">
        <v>1</v>
      </c>
      <c r="H481" s="4" t="n">
        <v>9.5</v>
      </c>
      <c r="I481" s="4" t="n">
        <v>2</v>
      </c>
      <c r="J481" s="4" t="n">
        <f aca="false">G481+I481</f>
        <v>3</v>
      </c>
      <c r="K481" s="4" t="n">
        <f aca="false">IF(H481&lt;=0,"",ROUND(J481/(H481/45),0))</f>
        <v>14</v>
      </c>
    </row>
    <row r="482" customFormat="false" ht="15" hidden="false" customHeight="false" outlineLevel="0" collapsed="false">
      <c r="A482" s="3" t="s">
        <v>264</v>
      </c>
      <c r="B482" s="3" t="s">
        <v>265</v>
      </c>
      <c r="C482" s="3" t="s">
        <v>266</v>
      </c>
      <c r="D482" s="3" t="s">
        <v>15</v>
      </c>
      <c r="E482" s="3" t="s">
        <v>16</v>
      </c>
      <c r="F482" s="3" t="s">
        <v>17</v>
      </c>
      <c r="G482" s="3" t="s">
        <v>17</v>
      </c>
      <c r="H482" s="3" t="s">
        <v>17</v>
      </c>
      <c r="I482" s="3" t="n">
        <v>2</v>
      </c>
      <c r="J482" s="3" t="s">
        <v>17</v>
      </c>
      <c r="K482" s="3" t="s">
        <v>17</v>
      </c>
    </row>
    <row r="483" customFormat="false" ht="15" hidden="false" customHeight="false" outlineLevel="0" collapsed="false">
      <c r="A483" s="4" t="s">
        <v>264</v>
      </c>
      <c r="B483" s="4" t="s">
        <v>265</v>
      </c>
      <c r="C483" s="4" t="s">
        <v>266</v>
      </c>
      <c r="D483" s="4" t="s">
        <v>32</v>
      </c>
      <c r="E483" s="4" t="s">
        <v>19</v>
      </c>
      <c r="F483" s="4" t="n">
        <v>0</v>
      </c>
      <c r="G483" s="4" t="n">
        <v>0</v>
      </c>
      <c r="H483" s="4" t="n">
        <v>6.6</v>
      </c>
      <c r="I483" s="4" t="n">
        <v>2</v>
      </c>
      <c r="J483" s="4" t="n">
        <f aca="false">G483+I483</f>
        <v>2</v>
      </c>
      <c r="K483" s="4" t="n">
        <f aca="false">IF(H483&lt;=0,"",ROUND(J483/(H483/45),0))</f>
        <v>14</v>
      </c>
    </row>
    <row r="484" customFormat="false" ht="15" hidden="false" customHeight="false" outlineLevel="0" collapsed="false">
      <c r="A484" s="4" t="s">
        <v>264</v>
      </c>
      <c r="B484" s="4" t="s">
        <v>265</v>
      </c>
      <c r="C484" s="4" t="s">
        <v>266</v>
      </c>
      <c r="D484" s="4" t="s">
        <v>34</v>
      </c>
      <c r="E484" s="4" t="s">
        <v>19</v>
      </c>
      <c r="F484" s="4" t="n">
        <v>3</v>
      </c>
      <c r="G484" s="4" t="n">
        <v>8</v>
      </c>
      <c r="H484" s="4" t="n">
        <v>14</v>
      </c>
      <c r="I484" s="4" t="n">
        <v>2</v>
      </c>
      <c r="J484" s="4" t="n">
        <f aca="false">G484+I484</f>
        <v>10</v>
      </c>
      <c r="K484" s="4" t="n">
        <f aca="false">IF(H484&lt;=0,"",ROUND(J484/(H484/45),0))</f>
        <v>32</v>
      </c>
    </row>
    <row r="485" customFormat="false" ht="15" hidden="false" customHeight="false" outlineLevel="0" collapsed="false">
      <c r="A485" s="4" t="s">
        <v>264</v>
      </c>
      <c r="B485" s="4" t="s">
        <v>265</v>
      </c>
      <c r="C485" s="4" t="s">
        <v>266</v>
      </c>
      <c r="D485" s="4" t="s">
        <v>53</v>
      </c>
      <c r="E485" s="4" t="s">
        <v>19</v>
      </c>
      <c r="F485" s="4" t="n">
        <v>0</v>
      </c>
      <c r="G485" s="4" t="n">
        <v>0</v>
      </c>
      <c r="H485" s="4" t="n">
        <v>7</v>
      </c>
      <c r="I485" s="4" t="n">
        <v>2</v>
      </c>
      <c r="J485" s="4" t="n">
        <f aca="false">G485+I485</f>
        <v>2</v>
      </c>
      <c r="K485" s="4" t="n">
        <f aca="false">IF(H485&lt;=0,"",ROUND(J485/(H485/45),0))</f>
        <v>13</v>
      </c>
    </row>
    <row r="486" customFormat="false" ht="15" hidden="false" customHeight="false" outlineLevel="0" collapsed="false">
      <c r="A486" s="4" t="s">
        <v>264</v>
      </c>
      <c r="B486" s="4" t="s">
        <v>265</v>
      </c>
      <c r="C486" s="4" t="s">
        <v>266</v>
      </c>
      <c r="D486" s="4" t="s">
        <v>18</v>
      </c>
      <c r="E486" s="4" t="s">
        <v>19</v>
      </c>
      <c r="F486" s="4" t="n">
        <v>2</v>
      </c>
      <c r="G486" s="4" t="n">
        <v>1</v>
      </c>
      <c r="H486" s="4" t="n">
        <v>14.8</v>
      </c>
      <c r="I486" s="4" t="n">
        <v>2</v>
      </c>
      <c r="J486" s="4" t="n">
        <f aca="false">G486+I486</f>
        <v>3</v>
      </c>
      <c r="K486" s="4" t="n">
        <f aca="false">IF(H486&lt;=0,"",ROUND(J486/(H486/45),0))</f>
        <v>9</v>
      </c>
    </row>
    <row r="487" customFormat="false" ht="15" hidden="false" customHeight="false" outlineLevel="0" collapsed="false">
      <c r="A487" s="4" t="s">
        <v>264</v>
      </c>
      <c r="B487" s="4" t="s">
        <v>265</v>
      </c>
      <c r="C487" s="4" t="s">
        <v>266</v>
      </c>
      <c r="D487" s="4" t="s">
        <v>39</v>
      </c>
      <c r="E487" s="4" t="s">
        <v>19</v>
      </c>
      <c r="F487" s="4" t="n">
        <v>0</v>
      </c>
      <c r="G487" s="4" t="n">
        <v>2</v>
      </c>
      <c r="H487" s="4" t="n">
        <v>11.2</v>
      </c>
      <c r="I487" s="4" t="n">
        <v>2</v>
      </c>
      <c r="J487" s="4" t="n">
        <f aca="false">G487+I487</f>
        <v>4</v>
      </c>
      <c r="K487" s="4" t="n">
        <f aca="false">IF(H487&lt;=0,"",ROUND(J487/(H487/45),0))</f>
        <v>16</v>
      </c>
    </row>
    <row r="488" customFormat="false" ht="15" hidden="false" customHeight="false" outlineLevel="0" collapsed="false">
      <c r="A488" s="4" t="s">
        <v>264</v>
      </c>
      <c r="B488" s="4" t="s">
        <v>265</v>
      </c>
      <c r="C488" s="4" t="s">
        <v>266</v>
      </c>
      <c r="D488" s="4" t="s">
        <v>40</v>
      </c>
      <c r="E488" s="4" t="s">
        <v>19</v>
      </c>
      <c r="F488" s="4" t="n">
        <v>1</v>
      </c>
      <c r="G488" s="4" t="n">
        <v>0</v>
      </c>
      <c r="H488" s="4" t="n">
        <v>12.5</v>
      </c>
      <c r="I488" s="4" t="n">
        <v>2</v>
      </c>
      <c r="J488" s="4" t="n">
        <f aca="false">G488+I488</f>
        <v>2</v>
      </c>
      <c r="K488" s="4" t="n">
        <f aca="false">IF(H488&lt;=0,"",ROUND(J488/(H488/45),0))</f>
        <v>7</v>
      </c>
    </row>
    <row r="489" customFormat="false" ht="15" hidden="false" customHeight="false" outlineLevel="0" collapsed="false">
      <c r="A489" s="4" t="s">
        <v>267</v>
      </c>
      <c r="B489" s="4" t="s">
        <v>268</v>
      </c>
      <c r="C489" s="4" t="s">
        <v>269</v>
      </c>
      <c r="D489" s="4" t="s">
        <v>18</v>
      </c>
      <c r="E489" s="4" t="s">
        <v>19</v>
      </c>
      <c r="F489" s="4" t="n">
        <v>0</v>
      </c>
      <c r="G489" s="4" t="n">
        <v>3</v>
      </c>
      <c r="H489" s="4" t="n">
        <v>7.5</v>
      </c>
      <c r="I489" s="4" t="n">
        <v>2</v>
      </c>
      <c r="J489" s="4" t="n">
        <f aca="false">G489+I489</f>
        <v>5</v>
      </c>
      <c r="K489" s="4" t="n">
        <f aca="false">IF(H489&lt;=0,"",ROUND(J489/(H489/45),0))</f>
        <v>30</v>
      </c>
    </row>
    <row r="490" customFormat="false" ht="15" hidden="false" customHeight="false" outlineLevel="0" collapsed="false">
      <c r="A490" s="4" t="s">
        <v>267</v>
      </c>
      <c r="B490" s="4" t="s">
        <v>268</v>
      </c>
      <c r="C490" s="4" t="s">
        <v>269</v>
      </c>
      <c r="D490" s="4" t="s">
        <v>39</v>
      </c>
      <c r="E490" s="4" t="s">
        <v>19</v>
      </c>
      <c r="F490" s="4" t="n">
        <v>0</v>
      </c>
      <c r="G490" s="4" t="n">
        <v>0</v>
      </c>
      <c r="H490" s="4" t="n">
        <v>6.8</v>
      </c>
      <c r="I490" s="4" t="n">
        <v>2</v>
      </c>
      <c r="J490" s="4" t="n">
        <f aca="false">G490+I490</f>
        <v>2</v>
      </c>
      <c r="K490" s="4" t="n">
        <f aca="false">IF(H490&lt;=0,"",ROUND(J490/(H490/45),0))</f>
        <v>13</v>
      </c>
    </row>
    <row r="491" customFormat="false" ht="15" hidden="false" customHeight="false" outlineLevel="0" collapsed="false">
      <c r="A491" s="4" t="s">
        <v>267</v>
      </c>
      <c r="B491" s="4" t="s">
        <v>268</v>
      </c>
      <c r="C491" s="4" t="s">
        <v>269</v>
      </c>
      <c r="D491" s="4" t="s">
        <v>40</v>
      </c>
      <c r="E491" s="4" t="s">
        <v>19</v>
      </c>
      <c r="F491" s="4" t="n">
        <v>0</v>
      </c>
      <c r="G491" s="4" t="n">
        <v>0</v>
      </c>
      <c r="H491" s="4" t="n">
        <v>6.7</v>
      </c>
      <c r="I491" s="4" t="n">
        <v>2</v>
      </c>
      <c r="J491" s="4" t="n">
        <f aca="false">G491+I491</f>
        <v>2</v>
      </c>
      <c r="K491" s="4" t="n">
        <f aca="false">IF(H491&lt;=0,"",ROUND(J491/(H491/45),0))</f>
        <v>13</v>
      </c>
    </row>
    <row r="492" customFormat="false" ht="15" hidden="false" customHeight="false" outlineLevel="0" collapsed="false">
      <c r="A492" s="4" t="s">
        <v>270</v>
      </c>
      <c r="B492" s="4" t="s">
        <v>271</v>
      </c>
      <c r="C492" s="4" t="s">
        <v>272</v>
      </c>
      <c r="D492" s="4" t="s">
        <v>30</v>
      </c>
      <c r="E492" s="4" t="s">
        <v>19</v>
      </c>
      <c r="F492" s="4" t="n">
        <v>5</v>
      </c>
      <c r="G492" s="4" t="n">
        <v>1</v>
      </c>
      <c r="H492" s="4" t="n">
        <v>15</v>
      </c>
      <c r="I492" s="4" t="n">
        <v>10</v>
      </c>
      <c r="J492" s="4" t="n">
        <f aca="false">G492+I492</f>
        <v>11</v>
      </c>
      <c r="K492" s="4" t="n">
        <f aca="false">IF(H492&lt;=0,"",ROUND(J492/(H492/45),0))</f>
        <v>33</v>
      </c>
    </row>
    <row r="493" customFormat="false" ht="15" hidden="false" customHeight="false" outlineLevel="0" collapsed="false">
      <c r="A493" s="4" t="s">
        <v>270</v>
      </c>
      <c r="B493" s="4" t="s">
        <v>271</v>
      </c>
      <c r="C493" s="4" t="s">
        <v>272</v>
      </c>
      <c r="D493" s="4" t="s">
        <v>35</v>
      </c>
      <c r="E493" s="4" t="s">
        <v>19</v>
      </c>
      <c r="F493" s="4" t="n">
        <v>2</v>
      </c>
      <c r="G493" s="4" t="n">
        <v>0</v>
      </c>
      <c r="H493" s="4" t="n">
        <v>6</v>
      </c>
      <c r="I493" s="4" t="n">
        <v>4</v>
      </c>
      <c r="J493" s="4" t="n">
        <f aca="false">G493+I493</f>
        <v>4</v>
      </c>
      <c r="K493" s="4" t="n">
        <f aca="false">IF(H493&lt;=0,"",ROUND(J493/(H493/45),0))</f>
        <v>30</v>
      </c>
    </row>
    <row r="494" customFormat="false" ht="15" hidden="false" customHeight="false" outlineLevel="0" collapsed="false">
      <c r="A494" s="4" t="s">
        <v>270</v>
      </c>
      <c r="B494" s="4" t="s">
        <v>271</v>
      </c>
      <c r="C494" s="4" t="s">
        <v>272</v>
      </c>
      <c r="D494" s="4" t="s">
        <v>18</v>
      </c>
      <c r="E494" s="4" t="s">
        <v>19</v>
      </c>
      <c r="F494" s="4" t="n">
        <v>1</v>
      </c>
      <c r="G494" s="4" t="n">
        <v>0</v>
      </c>
      <c r="H494" s="4" t="n">
        <v>6</v>
      </c>
      <c r="I494" s="4" t="n">
        <v>4</v>
      </c>
      <c r="J494" s="4" t="n">
        <f aca="false">G494+I494</f>
        <v>4</v>
      </c>
      <c r="K494" s="4" t="n">
        <f aca="false">IF(H494&lt;=0,"",ROUND(J494/(H494/45),0))</f>
        <v>30</v>
      </c>
    </row>
    <row r="495" customFormat="false" ht="15" hidden="false" customHeight="false" outlineLevel="0" collapsed="false">
      <c r="A495" s="4" t="s">
        <v>273</v>
      </c>
      <c r="B495" s="4" t="s">
        <v>274</v>
      </c>
      <c r="C495" s="4" t="s">
        <v>275</v>
      </c>
      <c r="D495" s="4" t="s">
        <v>74</v>
      </c>
      <c r="E495" s="4" t="s">
        <v>19</v>
      </c>
      <c r="F495" s="4" t="n">
        <v>9</v>
      </c>
      <c r="G495" s="4" t="n">
        <v>0</v>
      </c>
      <c r="H495" s="4" t="n">
        <v>29.1</v>
      </c>
      <c r="I495" s="4" t="n">
        <v>2</v>
      </c>
      <c r="J495" s="4" t="n">
        <f aca="false">G495+I495</f>
        <v>2</v>
      </c>
      <c r="K495" s="4" t="n">
        <f aca="false">IF(H495&lt;=0,"",ROUND(J495/(H495/45),0))</f>
        <v>3</v>
      </c>
    </row>
    <row r="496" customFormat="false" ht="15" hidden="false" customHeight="false" outlineLevel="0" collapsed="false">
      <c r="A496" s="4" t="s">
        <v>273</v>
      </c>
      <c r="B496" s="4" t="s">
        <v>274</v>
      </c>
      <c r="C496" s="4" t="s">
        <v>275</v>
      </c>
      <c r="D496" s="4" t="s">
        <v>30</v>
      </c>
      <c r="E496" s="4" t="s">
        <v>19</v>
      </c>
      <c r="F496" s="4" t="n">
        <v>6</v>
      </c>
      <c r="G496" s="4" t="n">
        <v>0</v>
      </c>
      <c r="H496" s="4" t="n">
        <v>20.5</v>
      </c>
      <c r="I496" s="4" t="n">
        <v>2</v>
      </c>
      <c r="J496" s="4" t="n">
        <f aca="false">G496+I496</f>
        <v>2</v>
      </c>
      <c r="K496" s="4" t="n">
        <f aca="false">IF(H496&lt;=0,"",ROUND(J496/(H496/45),0))</f>
        <v>4</v>
      </c>
    </row>
    <row r="497" customFormat="false" ht="15" hidden="false" customHeight="false" outlineLevel="0" collapsed="false">
      <c r="A497" s="4" t="s">
        <v>273</v>
      </c>
      <c r="B497" s="4" t="s">
        <v>274</v>
      </c>
      <c r="C497" s="4" t="s">
        <v>275</v>
      </c>
      <c r="D497" s="4" t="s">
        <v>182</v>
      </c>
      <c r="E497" s="4" t="s">
        <v>19</v>
      </c>
      <c r="F497" s="4" t="n">
        <v>5</v>
      </c>
      <c r="G497" s="4" t="n">
        <v>0</v>
      </c>
      <c r="H497" s="4" t="n">
        <v>15</v>
      </c>
      <c r="I497" s="4" t="n">
        <v>2</v>
      </c>
      <c r="J497" s="4" t="n">
        <f aca="false">G497+I497</f>
        <v>2</v>
      </c>
      <c r="K497" s="4" t="n">
        <f aca="false">IF(H497&lt;=0,"",ROUND(J497/(H497/45),0))</f>
        <v>6</v>
      </c>
    </row>
    <row r="498" customFormat="false" ht="15" hidden="false" customHeight="false" outlineLevel="0" collapsed="false">
      <c r="A498" s="4" t="s">
        <v>273</v>
      </c>
      <c r="B498" s="4" t="s">
        <v>274</v>
      </c>
      <c r="C498" s="4" t="s">
        <v>275</v>
      </c>
      <c r="D498" s="4" t="s">
        <v>31</v>
      </c>
      <c r="E498" s="4" t="s">
        <v>19</v>
      </c>
      <c r="F498" s="4" t="n">
        <v>10</v>
      </c>
      <c r="G498" s="4" t="n">
        <v>0</v>
      </c>
      <c r="H498" s="4" t="n">
        <v>30</v>
      </c>
      <c r="I498" s="4" t="n">
        <v>2</v>
      </c>
      <c r="J498" s="4" t="n">
        <f aca="false">G498+I498</f>
        <v>2</v>
      </c>
      <c r="K498" s="4" t="n">
        <f aca="false">IF(H498&lt;=0,"",ROUND(J498/(H498/45),0))</f>
        <v>3</v>
      </c>
    </row>
    <row r="499" customFormat="false" ht="15" hidden="false" customHeight="false" outlineLevel="0" collapsed="false">
      <c r="A499" s="3" t="s">
        <v>273</v>
      </c>
      <c r="B499" s="3" t="s">
        <v>274</v>
      </c>
      <c r="C499" s="3" t="s">
        <v>275</v>
      </c>
      <c r="D499" s="3" t="s">
        <v>15</v>
      </c>
      <c r="E499" s="3" t="s">
        <v>16</v>
      </c>
      <c r="F499" s="3" t="s">
        <v>17</v>
      </c>
      <c r="G499" s="3" t="s">
        <v>17</v>
      </c>
      <c r="H499" s="3" t="s">
        <v>17</v>
      </c>
      <c r="I499" s="3" t="n">
        <v>2</v>
      </c>
      <c r="J499" s="3" t="s">
        <v>17</v>
      </c>
      <c r="K499" s="3" t="s">
        <v>17</v>
      </c>
    </row>
    <row r="500" customFormat="false" ht="15" hidden="false" customHeight="false" outlineLevel="0" collapsed="false">
      <c r="A500" s="4" t="s">
        <v>273</v>
      </c>
      <c r="B500" s="4" t="s">
        <v>274</v>
      </c>
      <c r="C500" s="4" t="s">
        <v>275</v>
      </c>
      <c r="D500" s="4" t="s">
        <v>32</v>
      </c>
      <c r="E500" s="4" t="s">
        <v>19</v>
      </c>
      <c r="F500" s="4" t="n">
        <v>2</v>
      </c>
      <c r="G500" s="4" t="n">
        <v>0</v>
      </c>
      <c r="H500" s="4" t="n">
        <v>11.9</v>
      </c>
      <c r="I500" s="4" t="n">
        <v>2</v>
      </c>
      <c r="J500" s="4" t="n">
        <f aca="false">G500+I500</f>
        <v>2</v>
      </c>
      <c r="K500" s="4" t="n">
        <f aca="false">IF(H500&lt;=0,"",ROUND(J500/(H500/45),0))</f>
        <v>8</v>
      </c>
    </row>
    <row r="501" customFormat="false" ht="15" hidden="false" customHeight="false" outlineLevel="0" collapsed="false">
      <c r="A501" s="4" t="s">
        <v>273</v>
      </c>
      <c r="B501" s="4" t="s">
        <v>274</v>
      </c>
      <c r="C501" s="4" t="s">
        <v>275</v>
      </c>
      <c r="D501" s="4" t="s">
        <v>34</v>
      </c>
      <c r="E501" s="4" t="s">
        <v>19</v>
      </c>
      <c r="F501" s="4" t="n">
        <v>1</v>
      </c>
      <c r="G501" s="4" t="n">
        <v>0</v>
      </c>
      <c r="H501" s="4" t="n">
        <v>7.5</v>
      </c>
      <c r="I501" s="4" t="n">
        <v>2</v>
      </c>
      <c r="J501" s="4" t="n">
        <f aca="false">G501+I501</f>
        <v>2</v>
      </c>
      <c r="K501" s="4" t="n">
        <f aca="false">IF(H501&lt;=0,"",ROUND(J501/(H501/45),0))</f>
        <v>12</v>
      </c>
    </row>
    <row r="502" customFormat="false" ht="15" hidden="false" customHeight="false" outlineLevel="0" collapsed="false">
      <c r="A502" s="4" t="s">
        <v>273</v>
      </c>
      <c r="B502" s="4" t="s">
        <v>274</v>
      </c>
      <c r="C502" s="4" t="s">
        <v>275</v>
      </c>
      <c r="D502" s="4" t="s">
        <v>53</v>
      </c>
      <c r="E502" s="4" t="s">
        <v>19</v>
      </c>
      <c r="F502" s="4" t="n">
        <v>15</v>
      </c>
      <c r="G502" s="4" t="n">
        <v>6</v>
      </c>
      <c r="H502" s="4" t="n">
        <v>45</v>
      </c>
      <c r="I502" s="4" t="n">
        <v>2</v>
      </c>
      <c r="J502" s="4" t="n">
        <f aca="false">G502+I502</f>
        <v>8</v>
      </c>
      <c r="K502" s="4" t="n">
        <f aca="false">IF(H502&lt;=0,"",ROUND(J502/(H502/45),0))</f>
        <v>8</v>
      </c>
    </row>
    <row r="503" customFormat="false" ht="15" hidden="false" customHeight="false" outlineLevel="0" collapsed="false">
      <c r="A503" s="4" t="s">
        <v>273</v>
      </c>
      <c r="B503" s="4" t="s">
        <v>274</v>
      </c>
      <c r="C503" s="4" t="s">
        <v>275</v>
      </c>
      <c r="D503" s="4" t="s">
        <v>35</v>
      </c>
      <c r="E503" s="4" t="s">
        <v>19</v>
      </c>
      <c r="F503" s="4" t="n">
        <v>7</v>
      </c>
      <c r="G503" s="4" t="n">
        <v>5</v>
      </c>
      <c r="H503" s="4" t="n">
        <v>21</v>
      </c>
      <c r="I503" s="4" t="n">
        <v>2</v>
      </c>
      <c r="J503" s="4" t="n">
        <f aca="false">G503+I503</f>
        <v>7</v>
      </c>
      <c r="K503" s="4" t="n">
        <f aca="false">IF(H503&lt;=0,"",ROUND(J503/(H503/45),0))</f>
        <v>15</v>
      </c>
    </row>
    <row r="504" customFormat="false" ht="15" hidden="false" customHeight="false" outlineLevel="0" collapsed="false">
      <c r="A504" s="4" t="s">
        <v>273</v>
      </c>
      <c r="B504" s="4" t="s">
        <v>274</v>
      </c>
      <c r="C504" s="4" t="s">
        <v>275</v>
      </c>
      <c r="D504" s="4" t="s">
        <v>18</v>
      </c>
      <c r="E504" s="4" t="s">
        <v>19</v>
      </c>
      <c r="F504" s="4" t="n">
        <v>6</v>
      </c>
      <c r="G504" s="4" t="n">
        <v>0</v>
      </c>
      <c r="H504" s="4" t="n">
        <v>30</v>
      </c>
      <c r="I504" s="4" t="n">
        <v>2</v>
      </c>
      <c r="J504" s="4" t="n">
        <f aca="false">G504+I504</f>
        <v>2</v>
      </c>
      <c r="K504" s="4" t="n">
        <f aca="false">IF(H504&lt;=0,"",ROUND(J504/(H504/45),0))</f>
        <v>3</v>
      </c>
    </row>
    <row r="505" customFormat="false" ht="15" hidden="false" customHeight="false" outlineLevel="0" collapsed="false">
      <c r="A505" s="4" t="s">
        <v>273</v>
      </c>
      <c r="B505" s="4" t="s">
        <v>274</v>
      </c>
      <c r="C505" s="4" t="s">
        <v>275</v>
      </c>
      <c r="D505" s="4" t="s">
        <v>39</v>
      </c>
      <c r="E505" s="4" t="s">
        <v>19</v>
      </c>
      <c r="F505" s="4" t="n">
        <v>7</v>
      </c>
      <c r="G505" s="4" t="n">
        <v>11</v>
      </c>
      <c r="H505" s="4" t="n">
        <v>30.2</v>
      </c>
      <c r="I505" s="4" t="n">
        <v>2</v>
      </c>
      <c r="J505" s="4" t="n">
        <f aca="false">G505+I505</f>
        <v>13</v>
      </c>
      <c r="K505" s="4" t="n">
        <f aca="false">IF(H505&lt;=0,"",ROUND(J505/(H505/45),0))</f>
        <v>19</v>
      </c>
    </row>
    <row r="506" customFormat="false" ht="15" hidden="false" customHeight="false" outlineLevel="0" collapsed="false">
      <c r="A506" s="4" t="s">
        <v>273</v>
      </c>
      <c r="B506" s="4" t="s">
        <v>274</v>
      </c>
      <c r="C506" s="4" t="s">
        <v>275</v>
      </c>
      <c r="D506" s="4" t="s">
        <v>70</v>
      </c>
      <c r="E506" s="4" t="s">
        <v>19</v>
      </c>
      <c r="F506" s="4" t="n">
        <v>6</v>
      </c>
      <c r="G506" s="4" t="n">
        <v>4</v>
      </c>
      <c r="H506" s="4" t="n">
        <v>18</v>
      </c>
      <c r="I506" s="4" t="n">
        <v>2</v>
      </c>
      <c r="J506" s="4" t="n">
        <f aca="false">G506+I506</f>
        <v>6</v>
      </c>
      <c r="K506" s="4" t="n">
        <f aca="false">IF(H506&lt;=0,"",ROUND(J506/(H506/45),0))</f>
        <v>15</v>
      </c>
    </row>
    <row r="507" customFormat="false" ht="15" hidden="false" customHeight="false" outlineLevel="0" collapsed="false">
      <c r="A507" s="4" t="s">
        <v>273</v>
      </c>
      <c r="B507" s="4" t="s">
        <v>274</v>
      </c>
      <c r="C507" s="4" t="s">
        <v>275</v>
      </c>
      <c r="D507" s="4" t="s">
        <v>40</v>
      </c>
      <c r="E507" s="4" t="s">
        <v>19</v>
      </c>
      <c r="F507" s="4" t="n">
        <v>4</v>
      </c>
      <c r="G507" s="4" t="n">
        <v>4</v>
      </c>
      <c r="H507" s="4" t="n">
        <v>16.5</v>
      </c>
      <c r="I507" s="4" t="n">
        <v>2</v>
      </c>
      <c r="J507" s="4" t="n">
        <f aca="false">G507+I507</f>
        <v>6</v>
      </c>
      <c r="K507" s="4" t="n">
        <f aca="false">IF(H507&lt;=0,"",ROUND(J507/(H507/45),0))</f>
        <v>16</v>
      </c>
    </row>
    <row r="508" customFormat="false" ht="15" hidden="false" customHeight="false" outlineLevel="0" collapsed="false">
      <c r="A508" s="4" t="s">
        <v>276</v>
      </c>
      <c r="B508" s="4" t="s">
        <v>277</v>
      </c>
      <c r="C508" s="4" t="s">
        <v>278</v>
      </c>
      <c r="D508" s="4" t="s">
        <v>53</v>
      </c>
      <c r="E508" s="4" t="s">
        <v>19</v>
      </c>
      <c r="F508" s="4" t="n">
        <v>1</v>
      </c>
      <c r="G508" s="4" t="n">
        <v>0</v>
      </c>
      <c r="H508" s="4" t="n">
        <v>8.7</v>
      </c>
      <c r="I508" s="4" t="n">
        <v>6</v>
      </c>
      <c r="J508" s="4" t="n">
        <f aca="false">G508+I508</f>
        <v>6</v>
      </c>
      <c r="K508" s="4" t="n">
        <f aca="false">IF(H508&lt;=0,"",ROUND(J508/(H508/45),0))</f>
        <v>31</v>
      </c>
    </row>
    <row r="509" customFormat="false" ht="15" hidden="false" customHeight="false" outlineLevel="0" collapsed="false">
      <c r="A509" s="4" t="s">
        <v>276</v>
      </c>
      <c r="B509" s="4" t="s">
        <v>277</v>
      </c>
      <c r="C509" s="4" t="s">
        <v>278</v>
      </c>
      <c r="D509" s="4" t="s">
        <v>40</v>
      </c>
      <c r="E509" s="4" t="s">
        <v>19</v>
      </c>
      <c r="F509" s="4" t="n">
        <v>1</v>
      </c>
      <c r="G509" s="4" t="n">
        <v>0</v>
      </c>
      <c r="H509" s="4" t="n">
        <v>7.2</v>
      </c>
      <c r="I509" s="4" t="n">
        <v>5</v>
      </c>
      <c r="J509" s="4" t="n">
        <f aca="false">G509+I509</f>
        <v>5</v>
      </c>
      <c r="K509" s="4" t="n">
        <f aca="false">IF(H509&lt;=0,"",ROUND(J509/(H509/45),0))</f>
        <v>31</v>
      </c>
    </row>
    <row r="510" customFormat="false" ht="15" hidden="false" customHeight="false" outlineLevel="0" collapsed="false">
      <c r="A510" s="3" t="s">
        <v>279</v>
      </c>
      <c r="B510" s="3" t="s">
        <v>280</v>
      </c>
      <c r="C510" s="3" t="s">
        <v>281</v>
      </c>
      <c r="D510" s="3" t="s">
        <v>15</v>
      </c>
      <c r="E510" s="3" t="s">
        <v>16</v>
      </c>
      <c r="F510" s="3" t="s">
        <v>17</v>
      </c>
      <c r="G510" s="3" t="s">
        <v>17</v>
      </c>
      <c r="H510" s="3" t="s">
        <v>17</v>
      </c>
      <c r="I510" s="3" t="n">
        <v>3</v>
      </c>
      <c r="J510" s="3" t="s">
        <v>17</v>
      </c>
      <c r="K510" s="3" t="s">
        <v>17</v>
      </c>
    </row>
    <row r="511" customFormat="false" ht="15" hidden="false" customHeight="false" outlineLevel="0" collapsed="false">
      <c r="A511" s="4" t="s">
        <v>282</v>
      </c>
      <c r="B511" s="4" t="s">
        <v>283</v>
      </c>
      <c r="C511" s="4" t="s">
        <v>284</v>
      </c>
      <c r="D511" s="4" t="s">
        <v>53</v>
      </c>
      <c r="E511" s="4" t="s">
        <v>19</v>
      </c>
      <c r="F511" s="4" t="n">
        <v>2</v>
      </c>
      <c r="G511" s="4" t="n">
        <v>1</v>
      </c>
      <c r="H511" s="4" t="n">
        <v>6</v>
      </c>
      <c r="I511" s="4" t="n">
        <v>2</v>
      </c>
      <c r="J511" s="4" t="n">
        <f aca="false">G511+I511</f>
        <v>3</v>
      </c>
      <c r="K511" s="4" t="n">
        <f aca="false">IF(H511&lt;=0,"",ROUND(J511/(H511/45),0))</f>
        <v>23</v>
      </c>
    </row>
    <row r="512" customFormat="false" ht="15" hidden="false" customHeight="false" outlineLevel="0" collapsed="false">
      <c r="A512" s="4" t="s">
        <v>282</v>
      </c>
      <c r="B512" s="4" t="s">
        <v>283</v>
      </c>
      <c r="C512" s="4" t="s">
        <v>284</v>
      </c>
      <c r="D512" s="4" t="s">
        <v>18</v>
      </c>
      <c r="E512" s="4" t="s">
        <v>19</v>
      </c>
      <c r="F512" s="4" t="n">
        <v>2</v>
      </c>
      <c r="G512" s="4" t="n">
        <v>3</v>
      </c>
      <c r="H512" s="4" t="n">
        <v>21</v>
      </c>
      <c r="I512" s="4" t="n">
        <v>2</v>
      </c>
      <c r="J512" s="4" t="n">
        <f aca="false">G512+I512</f>
        <v>5</v>
      </c>
      <c r="K512" s="4" t="n">
        <f aca="false">IF(H512&lt;=0,"",ROUND(J512/(H512/45),0))</f>
        <v>11</v>
      </c>
    </row>
    <row r="513" customFormat="false" ht="15" hidden="false" customHeight="false" outlineLevel="0" collapsed="false">
      <c r="A513" s="3" t="s">
        <v>285</v>
      </c>
      <c r="B513" s="3" t="s">
        <v>286</v>
      </c>
      <c r="C513" s="3" t="s">
        <v>287</v>
      </c>
      <c r="D513" s="3" t="s">
        <v>15</v>
      </c>
      <c r="E513" s="3" t="s">
        <v>16</v>
      </c>
      <c r="F513" s="3" t="s">
        <v>17</v>
      </c>
      <c r="G513" s="3" t="s">
        <v>17</v>
      </c>
      <c r="H513" s="3" t="s">
        <v>17</v>
      </c>
      <c r="I513" s="3" t="n">
        <v>5</v>
      </c>
      <c r="J513" s="3" t="s">
        <v>17</v>
      </c>
      <c r="K513" s="3" t="s">
        <v>17</v>
      </c>
    </row>
    <row r="514" customFormat="false" ht="15" hidden="false" customHeight="false" outlineLevel="0" collapsed="false">
      <c r="A514" s="3" t="s">
        <v>285</v>
      </c>
      <c r="B514" s="3" t="s">
        <v>286</v>
      </c>
      <c r="C514" s="3" t="s">
        <v>287</v>
      </c>
      <c r="D514" s="3" t="s">
        <v>33</v>
      </c>
      <c r="E514" s="3" t="s">
        <v>16</v>
      </c>
      <c r="F514" s="3" t="s">
        <v>17</v>
      </c>
      <c r="G514" s="3" t="s">
        <v>17</v>
      </c>
      <c r="H514" s="3" t="s">
        <v>17</v>
      </c>
      <c r="I514" s="3" t="n">
        <v>2</v>
      </c>
      <c r="J514" s="3" t="s">
        <v>17</v>
      </c>
      <c r="K514" s="3" t="s">
        <v>17</v>
      </c>
    </row>
    <row r="515" customFormat="false" ht="15" hidden="false" customHeight="false" outlineLevel="0" collapsed="false">
      <c r="A515" s="4" t="s">
        <v>285</v>
      </c>
      <c r="B515" s="4" t="s">
        <v>286</v>
      </c>
      <c r="C515" s="4" t="s">
        <v>287</v>
      </c>
      <c r="D515" s="4" t="s">
        <v>18</v>
      </c>
      <c r="E515" s="4" t="s">
        <v>19</v>
      </c>
      <c r="F515" s="4" t="n">
        <v>0</v>
      </c>
      <c r="G515" s="4" t="n">
        <v>0</v>
      </c>
      <c r="H515" s="4" t="n">
        <v>9</v>
      </c>
      <c r="I515" s="4" t="n">
        <v>2</v>
      </c>
      <c r="J515" s="4" t="n">
        <f aca="false">G515+I515</f>
        <v>2</v>
      </c>
      <c r="K515" s="4" t="n">
        <f aca="false">IF(H515&lt;=0,"",ROUND(J515/(H515/45),0))</f>
        <v>10</v>
      </c>
    </row>
    <row r="516" customFormat="false" ht="15" hidden="false" customHeight="false" outlineLevel="0" collapsed="false">
      <c r="A516" s="3" t="s">
        <v>288</v>
      </c>
      <c r="B516" s="3" t="s">
        <v>289</v>
      </c>
      <c r="C516" s="3" t="s">
        <v>290</v>
      </c>
      <c r="D516" s="3" t="s">
        <v>15</v>
      </c>
      <c r="E516" s="3" t="s">
        <v>16</v>
      </c>
      <c r="F516" s="3" t="s">
        <v>17</v>
      </c>
      <c r="G516" s="3" t="s">
        <v>17</v>
      </c>
      <c r="H516" s="3" t="s">
        <v>17</v>
      </c>
      <c r="I516" s="3" t="n">
        <v>4</v>
      </c>
      <c r="J516" s="3" t="s">
        <v>17</v>
      </c>
      <c r="K516" s="3" t="s">
        <v>17</v>
      </c>
    </row>
    <row r="517" customFormat="false" ht="15" hidden="false" customHeight="false" outlineLevel="0" collapsed="false">
      <c r="A517" s="4" t="s">
        <v>288</v>
      </c>
      <c r="B517" s="4" t="s">
        <v>289</v>
      </c>
      <c r="C517" s="4" t="s">
        <v>290</v>
      </c>
      <c r="D517" s="4" t="s">
        <v>18</v>
      </c>
      <c r="E517" s="4" t="s">
        <v>19</v>
      </c>
      <c r="F517" s="4" t="n">
        <v>0</v>
      </c>
      <c r="G517" s="4" t="n">
        <v>0</v>
      </c>
      <c r="H517" s="4" t="n">
        <v>6</v>
      </c>
      <c r="I517" s="4" t="n">
        <v>2</v>
      </c>
      <c r="J517" s="4" t="n">
        <f aca="false">G517+I517</f>
        <v>2</v>
      </c>
      <c r="K517" s="4" t="n">
        <f aca="false">IF(H517&lt;=0,"",ROUND(J517/(H517/45),0))</f>
        <v>15</v>
      </c>
    </row>
    <row r="518" customFormat="false" ht="15" hidden="false" customHeight="false" outlineLevel="0" collapsed="false">
      <c r="A518" s="4" t="s">
        <v>291</v>
      </c>
      <c r="B518" s="4" t="s">
        <v>292</v>
      </c>
      <c r="C518" s="4" t="s">
        <v>293</v>
      </c>
      <c r="D518" s="4" t="s">
        <v>30</v>
      </c>
      <c r="E518" s="4" t="s">
        <v>19</v>
      </c>
      <c r="F518" s="4" t="n">
        <v>0</v>
      </c>
      <c r="G518" s="4" t="n">
        <v>0</v>
      </c>
      <c r="H518" s="4" t="n">
        <v>6.8</v>
      </c>
      <c r="I518" s="4" t="n">
        <v>4</v>
      </c>
      <c r="J518" s="4" t="n">
        <f aca="false">G518+I518</f>
        <v>4</v>
      </c>
      <c r="K518" s="4" t="n">
        <f aca="false">IF(H518&lt;=0,"",ROUND(J518/(H518/45),0))</f>
        <v>26</v>
      </c>
    </row>
    <row r="519" customFormat="false" ht="15" hidden="false" customHeight="false" outlineLevel="0" collapsed="false">
      <c r="A519" s="4" t="s">
        <v>291</v>
      </c>
      <c r="B519" s="4" t="s">
        <v>292</v>
      </c>
      <c r="C519" s="4" t="s">
        <v>293</v>
      </c>
      <c r="D519" s="4" t="s">
        <v>18</v>
      </c>
      <c r="E519" s="4" t="s">
        <v>19</v>
      </c>
      <c r="F519" s="4" t="n">
        <v>0</v>
      </c>
      <c r="G519" s="4" t="n">
        <v>1</v>
      </c>
      <c r="H519" s="4" t="n">
        <v>8.7</v>
      </c>
      <c r="I519" s="4" t="n">
        <v>5</v>
      </c>
      <c r="J519" s="4" t="n">
        <f aca="false">G519+I519</f>
        <v>6</v>
      </c>
      <c r="K519" s="4" t="n">
        <f aca="false">IF(H519&lt;=0,"",ROUND(J519/(H519/45),0))</f>
        <v>31</v>
      </c>
    </row>
    <row r="520" customFormat="false" ht="15" hidden="false" customHeight="false" outlineLevel="0" collapsed="false">
      <c r="A520" s="4" t="s">
        <v>291</v>
      </c>
      <c r="B520" s="4" t="s">
        <v>292</v>
      </c>
      <c r="C520" s="4" t="s">
        <v>293</v>
      </c>
      <c r="D520" s="4" t="s">
        <v>39</v>
      </c>
      <c r="E520" s="4" t="s">
        <v>19</v>
      </c>
      <c r="F520" s="4" t="n">
        <v>0</v>
      </c>
      <c r="G520" s="4" t="n">
        <v>1</v>
      </c>
      <c r="H520" s="4" t="n">
        <v>7.8</v>
      </c>
      <c r="I520" s="4" t="n">
        <v>4</v>
      </c>
      <c r="J520" s="4" t="n">
        <f aca="false">G520+I520</f>
        <v>5</v>
      </c>
      <c r="K520" s="4" t="n">
        <f aca="false">IF(H520&lt;=0,"",ROUND(J520/(H520/45),0))</f>
        <v>29</v>
      </c>
    </row>
    <row r="521" customFormat="false" ht="15" hidden="false" customHeight="false" outlineLevel="0" collapsed="false">
      <c r="A521" s="4" t="s">
        <v>291</v>
      </c>
      <c r="B521" s="4" t="s">
        <v>292</v>
      </c>
      <c r="C521" s="4" t="s">
        <v>293</v>
      </c>
      <c r="D521" s="4" t="s">
        <v>40</v>
      </c>
      <c r="E521" s="4" t="s">
        <v>19</v>
      </c>
      <c r="F521" s="4" t="n">
        <v>0</v>
      </c>
      <c r="G521" s="4" t="n">
        <v>1</v>
      </c>
      <c r="H521" s="4" t="n">
        <v>7.8</v>
      </c>
      <c r="I521" s="4" t="n">
        <v>4</v>
      </c>
      <c r="J521" s="4" t="n">
        <f aca="false">G521+I521</f>
        <v>5</v>
      </c>
      <c r="K521" s="4" t="n">
        <f aca="false">IF(H521&lt;=0,"",ROUND(J521/(H521/45),0))</f>
        <v>29</v>
      </c>
    </row>
    <row r="522" customFormat="false" ht="15" hidden="false" customHeight="false" outlineLevel="0" collapsed="false">
      <c r="A522" s="3" t="s">
        <v>294</v>
      </c>
      <c r="B522" s="3" t="s">
        <v>295</v>
      </c>
      <c r="C522" s="3" t="s">
        <v>296</v>
      </c>
      <c r="D522" s="3" t="s">
        <v>15</v>
      </c>
      <c r="E522" s="3" t="s">
        <v>16</v>
      </c>
      <c r="F522" s="3" t="s">
        <v>17</v>
      </c>
      <c r="G522" s="3" t="s">
        <v>17</v>
      </c>
      <c r="H522" s="3" t="s">
        <v>17</v>
      </c>
      <c r="I522" s="3" t="n">
        <v>4</v>
      </c>
      <c r="J522" s="3" t="s">
        <v>17</v>
      </c>
      <c r="K522" s="3" t="s">
        <v>17</v>
      </c>
    </row>
    <row r="523" customFormat="false" ht="15" hidden="false" customHeight="false" outlineLevel="0" collapsed="false">
      <c r="A523" s="4" t="s">
        <v>294</v>
      </c>
      <c r="B523" s="4" t="s">
        <v>295</v>
      </c>
      <c r="C523" s="4" t="s">
        <v>296</v>
      </c>
      <c r="D523" s="4" t="s">
        <v>18</v>
      </c>
      <c r="E523" s="4" t="s">
        <v>19</v>
      </c>
      <c r="F523" s="4" t="n">
        <v>0</v>
      </c>
      <c r="G523" s="4" t="n">
        <v>0</v>
      </c>
      <c r="H523" s="4" t="n">
        <v>6</v>
      </c>
      <c r="I523" s="4" t="n">
        <v>2</v>
      </c>
      <c r="J523" s="4" t="n">
        <f aca="false">G523+I523</f>
        <v>2</v>
      </c>
      <c r="K523" s="4" t="n">
        <f aca="false">IF(H523&lt;=0,"",ROUND(J523/(H523/45),0))</f>
        <v>15</v>
      </c>
    </row>
    <row r="524" customFormat="false" ht="15" hidden="false" customHeight="false" outlineLevel="0" collapsed="false">
      <c r="A524" s="4" t="s">
        <v>297</v>
      </c>
      <c r="B524" s="4" t="s">
        <v>298</v>
      </c>
      <c r="C524" s="4" t="s">
        <v>299</v>
      </c>
      <c r="D524" s="4" t="s">
        <v>18</v>
      </c>
      <c r="E524" s="4" t="s">
        <v>19</v>
      </c>
      <c r="F524" s="4" t="n">
        <v>0</v>
      </c>
      <c r="G524" s="4" t="n">
        <v>0</v>
      </c>
      <c r="H524" s="4" t="n">
        <v>12</v>
      </c>
      <c r="I524" s="4" t="n">
        <v>2</v>
      </c>
      <c r="J524" s="4" t="n">
        <f aca="false">G524+I524</f>
        <v>2</v>
      </c>
      <c r="K524" s="4" t="n">
        <f aca="false">IF(H524&lt;=0,"",ROUND(J524/(H524/45),0))</f>
        <v>8</v>
      </c>
    </row>
    <row r="525" customFormat="false" ht="15" hidden="false" customHeight="false" outlineLevel="0" collapsed="false">
      <c r="A525" s="4" t="s">
        <v>300</v>
      </c>
      <c r="B525" s="4" t="s">
        <v>301</v>
      </c>
      <c r="C525" s="4" t="s">
        <v>302</v>
      </c>
      <c r="D525" s="4" t="s">
        <v>18</v>
      </c>
      <c r="E525" s="4" t="s">
        <v>19</v>
      </c>
      <c r="F525" s="4" t="n">
        <v>1</v>
      </c>
      <c r="G525" s="4" t="n">
        <v>0</v>
      </c>
      <c r="H525" s="4" t="n">
        <v>9</v>
      </c>
      <c r="I525" s="4" t="n">
        <v>4</v>
      </c>
      <c r="J525" s="4" t="n">
        <f aca="false">G525+I525</f>
        <v>4</v>
      </c>
      <c r="K525" s="4" t="n">
        <f aca="false">IF(H525&lt;=0,"",ROUND(J525/(H525/45),0))</f>
        <v>20</v>
      </c>
    </row>
    <row r="526" customFormat="false" ht="15" hidden="false" customHeight="false" outlineLevel="0" collapsed="false">
      <c r="A526" s="3" t="s">
        <v>303</v>
      </c>
      <c r="B526" s="3" t="s">
        <v>304</v>
      </c>
      <c r="C526" s="3" t="s">
        <v>305</v>
      </c>
      <c r="D526" s="3" t="s">
        <v>15</v>
      </c>
      <c r="E526" s="3" t="s">
        <v>16</v>
      </c>
      <c r="F526" s="3" t="s">
        <v>17</v>
      </c>
      <c r="G526" s="3" t="s">
        <v>17</v>
      </c>
      <c r="H526" s="3" t="s">
        <v>17</v>
      </c>
      <c r="I526" s="3" t="n">
        <v>4</v>
      </c>
      <c r="J526" s="3" t="s">
        <v>17</v>
      </c>
      <c r="K526" s="3" t="s">
        <v>17</v>
      </c>
    </row>
    <row r="527" customFormat="false" ht="15" hidden="false" customHeight="false" outlineLevel="0" collapsed="false">
      <c r="A527" s="4" t="s">
        <v>303</v>
      </c>
      <c r="B527" s="4" t="s">
        <v>304</v>
      </c>
      <c r="C527" s="4" t="s">
        <v>305</v>
      </c>
      <c r="D527" s="4" t="s">
        <v>18</v>
      </c>
      <c r="E527" s="4" t="s">
        <v>19</v>
      </c>
      <c r="F527" s="4" t="n">
        <v>1</v>
      </c>
      <c r="G527" s="4" t="n">
        <v>0</v>
      </c>
      <c r="H527" s="4" t="n">
        <v>12</v>
      </c>
      <c r="I527" s="4" t="n">
        <v>2</v>
      </c>
      <c r="J527" s="4" t="n">
        <f aca="false">G527+I527</f>
        <v>2</v>
      </c>
      <c r="K527" s="4" t="n">
        <f aca="false">IF(H527&lt;=0,"",ROUND(J527/(H527/45),0))</f>
        <v>8</v>
      </c>
    </row>
    <row r="528" customFormat="false" ht="15" hidden="false" customHeight="false" outlineLevel="0" collapsed="false">
      <c r="A528" s="4" t="s">
        <v>303</v>
      </c>
      <c r="B528" s="4" t="s">
        <v>304</v>
      </c>
      <c r="C528" s="4" t="s">
        <v>305</v>
      </c>
      <c r="D528" s="4" t="s">
        <v>40</v>
      </c>
      <c r="E528" s="4" t="s">
        <v>19</v>
      </c>
      <c r="F528" s="4" t="n">
        <v>2</v>
      </c>
      <c r="G528" s="4" t="n">
        <v>0</v>
      </c>
      <c r="H528" s="4" t="n">
        <v>6</v>
      </c>
      <c r="I528" s="4" t="n">
        <v>3</v>
      </c>
      <c r="J528" s="4" t="n">
        <f aca="false">G528+I528</f>
        <v>3</v>
      </c>
      <c r="K528" s="4" t="n">
        <f aca="false">IF(H528&lt;=0,"",ROUND(J528/(H528/45),0))</f>
        <v>23</v>
      </c>
    </row>
    <row r="529" customFormat="false" ht="15" hidden="false" customHeight="false" outlineLevel="0" collapsed="false">
      <c r="A529" s="4" t="s">
        <v>306</v>
      </c>
      <c r="B529" s="4" t="s">
        <v>307</v>
      </c>
      <c r="C529" s="4" t="s">
        <v>308</v>
      </c>
      <c r="D529" s="4" t="s">
        <v>18</v>
      </c>
      <c r="E529" s="4" t="s">
        <v>19</v>
      </c>
      <c r="F529" s="4" t="n">
        <v>0</v>
      </c>
      <c r="G529" s="4" t="n">
        <v>1</v>
      </c>
      <c r="H529" s="4" t="n">
        <v>6</v>
      </c>
      <c r="I529" s="4" t="n">
        <v>5</v>
      </c>
      <c r="J529" s="4" t="n">
        <f aca="false">G529+I529</f>
        <v>6</v>
      </c>
      <c r="K529" s="4" t="n">
        <f aca="false">IF(H529&lt;=0,"",ROUND(J529/(H529/45),0))</f>
        <v>45</v>
      </c>
    </row>
    <row r="530" customFormat="false" ht="15" hidden="false" customHeight="false" outlineLevel="0" collapsed="false">
      <c r="A530" s="3" t="s">
        <v>309</v>
      </c>
      <c r="B530" s="3" t="s">
        <v>310</v>
      </c>
      <c r="C530" s="3" t="s">
        <v>311</v>
      </c>
      <c r="D530" s="3" t="s">
        <v>15</v>
      </c>
      <c r="E530" s="3" t="s">
        <v>16</v>
      </c>
      <c r="F530" s="3" t="s">
        <v>17</v>
      </c>
      <c r="G530" s="3" t="s">
        <v>17</v>
      </c>
      <c r="H530" s="3" t="s">
        <v>17</v>
      </c>
      <c r="I530" s="3" t="n">
        <v>5</v>
      </c>
      <c r="J530" s="3" t="s">
        <v>17</v>
      </c>
      <c r="K530" s="3" t="s">
        <v>17</v>
      </c>
    </row>
    <row r="531" customFormat="false" ht="15" hidden="false" customHeight="false" outlineLevel="0" collapsed="false">
      <c r="A531" s="3" t="s">
        <v>309</v>
      </c>
      <c r="B531" s="3" t="s">
        <v>310</v>
      </c>
      <c r="C531" s="3" t="s">
        <v>311</v>
      </c>
      <c r="D531" s="3" t="s">
        <v>33</v>
      </c>
      <c r="E531" s="3" t="s">
        <v>16</v>
      </c>
      <c r="F531" s="3" t="s">
        <v>17</v>
      </c>
      <c r="G531" s="3" t="s">
        <v>17</v>
      </c>
      <c r="H531" s="3" t="s">
        <v>17</v>
      </c>
      <c r="I531" s="3" t="n">
        <v>2</v>
      </c>
      <c r="J531" s="3" t="s">
        <v>17</v>
      </c>
      <c r="K531" s="3" t="s">
        <v>17</v>
      </c>
    </row>
    <row r="532" customFormat="false" ht="15" hidden="false" customHeight="false" outlineLevel="0" collapsed="false">
      <c r="A532" s="4" t="s">
        <v>309</v>
      </c>
      <c r="B532" s="4" t="s">
        <v>310</v>
      </c>
      <c r="C532" s="4" t="s">
        <v>311</v>
      </c>
      <c r="D532" s="4" t="s">
        <v>18</v>
      </c>
      <c r="E532" s="4" t="s">
        <v>19</v>
      </c>
      <c r="F532" s="4" t="n">
        <v>0</v>
      </c>
      <c r="G532" s="4" t="n">
        <v>0</v>
      </c>
      <c r="H532" s="4" t="n">
        <v>9</v>
      </c>
      <c r="I532" s="4" t="n">
        <v>2</v>
      </c>
      <c r="J532" s="4" t="n">
        <f aca="false">G532+I532</f>
        <v>2</v>
      </c>
      <c r="K532" s="4" t="n">
        <f aca="false">IF(H532&lt;=0,"",ROUND(J532/(H532/45),0))</f>
        <v>10</v>
      </c>
    </row>
    <row r="533" customFormat="false" ht="15" hidden="false" customHeight="false" outlineLevel="0" collapsed="false">
      <c r="A533" s="3" t="s">
        <v>312</v>
      </c>
      <c r="B533" s="3" t="s">
        <v>313</v>
      </c>
      <c r="C533" s="3" t="s">
        <v>314</v>
      </c>
      <c r="D533" s="3" t="s">
        <v>15</v>
      </c>
      <c r="E533" s="3" t="s">
        <v>16</v>
      </c>
      <c r="F533" s="3" t="s">
        <v>17</v>
      </c>
      <c r="G533" s="3" t="s">
        <v>17</v>
      </c>
      <c r="H533" s="3" t="s">
        <v>17</v>
      </c>
      <c r="I533" s="3" t="n">
        <v>3</v>
      </c>
      <c r="J533" s="3" t="s">
        <v>17</v>
      </c>
      <c r="K533" s="3" t="s">
        <v>17</v>
      </c>
    </row>
    <row r="534" customFormat="false" ht="15" hidden="false" customHeight="false" outlineLevel="0" collapsed="false">
      <c r="A534" s="3" t="s">
        <v>312</v>
      </c>
      <c r="B534" s="3" t="s">
        <v>313</v>
      </c>
      <c r="C534" s="3" t="s">
        <v>314</v>
      </c>
      <c r="D534" s="3" t="s">
        <v>33</v>
      </c>
      <c r="E534" s="3" t="s">
        <v>16</v>
      </c>
      <c r="F534" s="3" t="s">
        <v>17</v>
      </c>
      <c r="G534" s="3" t="s">
        <v>17</v>
      </c>
      <c r="H534" s="3" t="s">
        <v>17</v>
      </c>
      <c r="I534" s="3" t="n">
        <v>2</v>
      </c>
      <c r="J534" s="3" t="s">
        <v>17</v>
      </c>
      <c r="K534" s="3" t="s">
        <v>17</v>
      </c>
    </row>
    <row r="535" customFormat="false" ht="15" hidden="false" customHeight="false" outlineLevel="0" collapsed="false">
      <c r="A535" s="4" t="s">
        <v>312</v>
      </c>
      <c r="B535" s="4" t="s">
        <v>313</v>
      </c>
      <c r="C535" s="4" t="s">
        <v>314</v>
      </c>
      <c r="D535" s="4" t="s">
        <v>18</v>
      </c>
      <c r="E535" s="4" t="s">
        <v>19</v>
      </c>
      <c r="F535" s="4" t="n">
        <v>1</v>
      </c>
      <c r="G535" s="4" t="n">
        <v>0</v>
      </c>
      <c r="H535" s="4" t="n">
        <v>15</v>
      </c>
      <c r="I535" s="4" t="n">
        <v>2</v>
      </c>
      <c r="J535" s="4" t="n">
        <f aca="false">G535+I535</f>
        <v>2</v>
      </c>
      <c r="K535" s="4" t="n">
        <f aca="false">IF(H535&lt;=0,"",ROUND(J535/(H535/45),0))</f>
        <v>6</v>
      </c>
    </row>
    <row r="536" customFormat="false" ht="15" hidden="false" customHeight="false" outlineLevel="0" collapsed="false">
      <c r="A536" s="4" t="s">
        <v>315</v>
      </c>
      <c r="B536" s="4" t="s">
        <v>316</v>
      </c>
      <c r="C536" s="4" t="s">
        <v>317</v>
      </c>
      <c r="D536" s="4" t="s">
        <v>31</v>
      </c>
      <c r="E536" s="4" t="s">
        <v>19</v>
      </c>
      <c r="F536" s="4" t="n">
        <v>1</v>
      </c>
      <c r="G536" s="4" t="n">
        <v>0</v>
      </c>
      <c r="H536" s="4" t="n">
        <v>6.2</v>
      </c>
      <c r="I536" s="4" t="n">
        <v>2</v>
      </c>
      <c r="J536" s="4" t="n">
        <f aca="false">G536+I536</f>
        <v>2</v>
      </c>
      <c r="K536" s="4" t="n">
        <f aca="false">IF(H536&lt;=0,"",ROUND(J536/(H536/45),0))</f>
        <v>15</v>
      </c>
    </row>
    <row r="537" customFormat="false" ht="15" hidden="false" customHeight="false" outlineLevel="0" collapsed="false">
      <c r="A537" s="3" t="s">
        <v>315</v>
      </c>
      <c r="B537" s="3" t="s">
        <v>316</v>
      </c>
      <c r="C537" s="3" t="s">
        <v>317</v>
      </c>
      <c r="D537" s="3" t="s">
        <v>15</v>
      </c>
      <c r="E537" s="3" t="s">
        <v>16</v>
      </c>
      <c r="F537" s="3" t="s">
        <v>17</v>
      </c>
      <c r="G537" s="3" t="s">
        <v>17</v>
      </c>
      <c r="H537" s="3" t="s">
        <v>17</v>
      </c>
      <c r="I537" s="3" t="n">
        <v>3</v>
      </c>
      <c r="J537" s="3" t="s">
        <v>17</v>
      </c>
      <c r="K537" s="3" t="s">
        <v>17</v>
      </c>
    </row>
    <row r="538" customFormat="false" ht="15" hidden="false" customHeight="false" outlineLevel="0" collapsed="false">
      <c r="A538" s="4" t="s">
        <v>315</v>
      </c>
      <c r="B538" s="4" t="s">
        <v>316</v>
      </c>
      <c r="C538" s="4" t="s">
        <v>317</v>
      </c>
      <c r="D538" s="4" t="s">
        <v>40</v>
      </c>
      <c r="E538" s="4" t="s">
        <v>19</v>
      </c>
      <c r="F538" s="4" t="n">
        <v>1</v>
      </c>
      <c r="G538" s="4" t="n">
        <v>0</v>
      </c>
      <c r="H538" s="4" t="n">
        <v>7.3</v>
      </c>
      <c r="I538" s="4" t="n">
        <v>6</v>
      </c>
      <c r="J538" s="4" t="n">
        <f aca="false">G538+I538</f>
        <v>6</v>
      </c>
      <c r="K538" s="4" t="n">
        <f aca="false">IF(H538&lt;=0,"",ROUND(J538/(H538/45),0))</f>
        <v>37</v>
      </c>
    </row>
    <row r="539" customFormat="false" ht="15" hidden="false" customHeight="false" outlineLevel="0" collapsed="false">
      <c r="A539" s="3" t="s">
        <v>318</v>
      </c>
      <c r="B539" s="3" t="s">
        <v>319</v>
      </c>
      <c r="C539" s="3" t="s">
        <v>320</v>
      </c>
      <c r="D539" s="3" t="s">
        <v>15</v>
      </c>
      <c r="E539" s="3" t="s">
        <v>16</v>
      </c>
      <c r="F539" s="3" t="s">
        <v>17</v>
      </c>
      <c r="G539" s="3" t="s">
        <v>17</v>
      </c>
      <c r="H539" s="3" t="s">
        <v>17</v>
      </c>
      <c r="I539" s="3" t="n">
        <v>11</v>
      </c>
      <c r="J539" s="3" t="s">
        <v>17</v>
      </c>
      <c r="K539" s="3" t="s">
        <v>17</v>
      </c>
    </row>
    <row r="540" customFormat="false" ht="15" hidden="false" customHeight="false" outlineLevel="0" collapsed="false">
      <c r="A540" s="3" t="s">
        <v>318</v>
      </c>
      <c r="B540" s="3" t="s">
        <v>319</v>
      </c>
      <c r="C540" s="3" t="s">
        <v>320</v>
      </c>
      <c r="D540" s="3" t="s">
        <v>33</v>
      </c>
      <c r="E540" s="3" t="s">
        <v>16</v>
      </c>
      <c r="F540" s="3" t="s">
        <v>17</v>
      </c>
      <c r="G540" s="3" t="s">
        <v>17</v>
      </c>
      <c r="H540" s="3" t="s">
        <v>17</v>
      </c>
      <c r="I540" s="3" t="n">
        <v>5</v>
      </c>
      <c r="J540" s="3" t="s">
        <v>17</v>
      </c>
      <c r="K540" s="3" t="s">
        <v>17</v>
      </c>
    </row>
    <row r="541" customFormat="false" ht="15" hidden="false" customHeight="false" outlineLevel="0" collapsed="false">
      <c r="A541" s="4" t="s">
        <v>318</v>
      </c>
      <c r="B541" s="4" t="s">
        <v>319</v>
      </c>
      <c r="C541" s="4" t="s">
        <v>320</v>
      </c>
      <c r="D541" s="4" t="s">
        <v>18</v>
      </c>
      <c r="E541" s="4" t="s">
        <v>19</v>
      </c>
      <c r="F541" s="4" t="n">
        <v>0</v>
      </c>
      <c r="G541" s="4" t="n">
        <v>0</v>
      </c>
      <c r="H541" s="4" t="n">
        <v>18</v>
      </c>
      <c r="I541" s="4" t="n">
        <v>2</v>
      </c>
      <c r="J541" s="4" t="n">
        <f aca="false">G541+I541</f>
        <v>2</v>
      </c>
      <c r="K541" s="4" t="n">
        <f aca="false">IF(H541&lt;=0,"",ROUND(J541/(H541/45),0))</f>
        <v>5</v>
      </c>
    </row>
    <row r="542" customFormat="false" ht="15" hidden="false" customHeight="false" outlineLevel="0" collapsed="false">
      <c r="A542" s="3" t="s">
        <v>321</v>
      </c>
      <c r="B542" s="3" t="s">
        <v>322</v>
      </c>
      <c r="C542" s="3" t="s">
        <v>323</v>
      </c>
      <c r="D542" s="3" t="s">
        <v>15</v>
      </c>
      <c r="E542" s="3" t="s">
        <v>16</v>
      </c>
      <c r="F542" s="3" t="s">
        <v>17</v>
      </c>
      <c r="G542" s="3" t="s">
        <v>17</v>
      </c>
      <c r="H542" s="3" t="s">
        <v>17</v>
      </c>
      <c r="I542" s="3" t="n">
        <v>5</v>
      </c>
      <c r="J542" s="3" t="s">
        <v>17</v>
      </c>
      <c r="K542" s="3" t="s">
        <v>17</v>
      </c>
    </row>
    <row r="543" customFormat="false" ht="15" hidden="false" customHeight="false" outlineLevel="0" collapsed="false">
      <c r="A543" s="3" t="s">
        <v>321</v>
      </c>
      <c r="B543" s="3" t="s">
        <v>322</v>
      </c>
      <c r="C543" s="3" t="s">
        <v>323</v>
      </c>
      <c r="D543" s="3" t="s">
        <v>33</v>
      </c>
      <c r="E543" s="3" t="s">
        <v>16</v>
      </c>
      <c r="F543" s="3" t="s">
        <v>17</v>
      </c>
      <c r="G543" s="3" t="s">
        <v>17</v>
      </c>
      <c r="H543" s="3" t="s">
        <v>17</v>
      </c>
      <c r="I543" s="3" t="n">
        <v>2</v>
      </c>
      <c r="J543" s="3" t="s">
        <v>17</v>
      </c>
      <c r="K543" s="3" t="s">
        <v>17</v>
      </c>
    </row>
    <row r="544" customFormat="false" ht="15" hidden="false" customHeight="false" outlineLevel="0" collapsed="false">
      <c r="A544" s="4" t="s">
        <v>321</v>
      </c>
      <c r="B544" s="4" t="s">
        <v>322</v>
      </c>
      <c r="C544" s="4" t="s">
        <v>323</v>
      </c>
      <c r="D544" s="4" t="s">
        <v>18</v>
      </c>
      <c r="E544" s="4" t="s">
        <v>19</v>
      </c>
      <c r="F544" s="4" t="n">
        <v>0</v>
      </c>
      <c r="G544" s="4" t="n">
        <v>0</v>
      </c>
      <c r="H544" s="4" t="n">
        <v>9</v>
      </c>
      <c r="I544" s="4" t="n">
        <v>2</v>
      </c>
      <c r="J544" s="4" t="n">
        <f aca="false">G544+I544</f>
        <v>2</v>
      </c>
      <c r="K544" s="4" t="n">
        <f aca="false">IF(H544&lt;=0,"",ROUND(J544/(H544/45),0))</f>
        <v>10</v>
      </c>
    </row>
    <row r="545" customFormat="false" ht="15" hidden="false" customHeight="false" outlineLevel="0" collapsed="false">
      <c r="A545" s="4" t="s">
        <v>324</v>
      </c>
      <c r="B545" s="4" t="s">
        <v>325</v>
      </c>
      <c r="C545" s="4" t="s">
        <v>326</v>
      </c>
      <c r="D545" s="4" t="s">
        <v>18</v>
      </c>
      <c r="E545" s="4" t="s">
        <v>19</v>
      </c>
      <c r="F545" s="4" t="n">
        <v>0</v>
      </c>
      <c r="G545" s="4" t="n">
        <v>1</v>
      </c>
      <c r="H545" s="4" t="n">
        <v>6</v>
      </c>
      <c r="I545" s="4" t="n">
        <v>5</v>
      </c>
      <c r="J545" s="4" t="n">
        <f aca="false">G545+I545</f>
        <v>6</v>
      </c>
      <c r="K545" s="4" t="n">
        <f aca="false">IF(H545&lt;=0,"",ROUND(J545/(H545/45),0))</f>
        <v>45</v>
      </c>
    </row>
    <row r="546" customFormat="false" ht="15" hidden="false" customHeight="false" outlineLevel="0" collapsed="false">
      <c r="A546" s="4" t="s">
        <v>327</v>
      </c>
      <c r="B546" s="4" t="s">
        <v>328</v>
      </c>
      <c r="C546" s="4" t="s">
        <v>329</v>
      </c>
      <c r="D546" s="4" t="s">
        <v>18</v>
      </c>
      <c r="E546" s="4" t="s">
        <v>19</v>
      </c>
      <c r="F546" s="4" t="n">
        <v>0</v>
      </c>
      <c r="G546" s="4" t="n">
        <v>0</v>
      </c>
      <c r="H546" s="4" t="n">
        <v>15</v>
      </c>
      <c r="I546" s="4" t="n">
        <v>5</v>
      </c>
      <c r="J546" s="4" t="n">
        <f aca="false">G546+I546</f>
        <v>5</v>
      </c>
      <c r="K546" s="4" t="n">
        <f aca="false">IF(H546&lt;=0,"",ROUND(J546/(H546/45),0))</f>
        <v>15</v>
      </c>
    </row>
    <row r="547" customFormat="false" ht="15" hidden="false" customHeight="false" outlineLevel="0" collapsed="false">
      <c r="A547" s="3" t="s">
        <v>330</v>
      </c>
      <c r="B547" s="3" t="s">
        <v>331</v>
      </c>
      <c r="C547" s="3" t="s">
        <v>332</v>
      </c>
      <c r="D547" s="3" t="s">
        <v>15</v>
      </c>
      <c r="E547" s="3" t="s">
        <v>16</v>
      </c>
      <c r="F547" s="3" t="s">
        <v>17</v>
      </c>
      <c r="G547" s="3" t="s">
        <v>17</v>
      </c>
      <c r="H547" s="3" t="s">
        <v>17</v>
      </c>
      <c r="I547" s="3" t="n">
        <v>5</v>
      </c>
      <c r="J547" s="3" t="s">
        <v>17</v>
      </c>
      <c r="K547" s="3" t="s">
        <v>17</v>
      </c>
    </row>
    <row r="548" customFormat="false" ht="15" hidden="false" customHeight="false" outlineLevel="0" collapsed="false">
      <c r="A548" s="3" t="s">
        <v>330</v>
      </c>
      <c r="B548" s="3" t="s">
        <v>331</v>
      </c>
      <c r="C548" s="3" t="s">
        <v>332</v>
      </c>
      <c r="D548" s="3" t="s">
        <v>33</v>
      </c>
      <c r="E548" s="3" t="s">
        <v>16</v>
      </c>
      <c r="F548" s="3" t="s">
        <v>17</v>
      </c>
      <c r="G548" s="3" t="s">
        <v>17</v>
      </c>
      <c r="H548" s="3" t="s">
        <v>17</v>
      </c>
      <c r="I548" s="3" t="n">
        <v>2</v>
      </c>
      <c r="J548" s="3" t="s">
        <v>17</v>
      </c>
      <c r="K548" s="3" t="s">
        <v>17</v>
      </c>
    </row>
    <row r="549" customFormat="false" ht="15" hidden="false" customHeight="false" outlineLevel="0" collapsed="false">
      <c r="A549" s="4" t="s">
        <v>330</v>
      </c>
      <c r="B549" s="4" t="s">
        <v>331</v>
      </c>
      <c r="C549" s="4" t="s">
        <v>332</v>
      </c>
      <c r="D549" s="4" t="s">
        <v>18</v>
      </c>
      <c r="E549" s="4" t="s">
        <v>19</v>
      </c>
      <c r="F549" s="4" t="n">
        <v>0</v>
      </c>
      <c r="G549" s="4" t="n">
        <v>0</v>
      </c>
      <c r="H549" s="4" t="n">
        <v>9</v>
      </c>
      <c r="I549" s="4" t="n">
        <v>2</v>
      </c>
      <c r="J549" s="4" t="n">
        <f aca="false">G549+I549</f>
        <v>2</v>
      </c>
      <c r="K549" s="4" t="n">
        <f aca="false">IF(H549&lt;=0,"",ROUND(J549/(H549/45),0))</f>
        <v>10</v>
      </c>
    </row>
    <row r="550" customFormat="false" ht="15" hidden="false" customHeight="false" outlineLevel="0" collapsed="false">
      <c r="A550" s="3" t="s">
        <v>333</v>
      </c>
      <c r="B550" s="3" t="s">
        <v>334</v>
      </c>
      <c r="C550" s="3" t="s">
        <v>335</v>
      </c>
      <c r="D550" s="3" t="s">
        <v>15</v>
      </c>
      <c r="E550" s="3" t="s">
        <v>16</v>
      </c>
      <c r="F550" s="3" t="s">
        <v>17</v>
      </c>
      <c r="G550" s="3" t="s">
        <v>17</v>
      </c>
      <c r="H550" s="3" t="s">
        <v>17</v>
      </c>
      <c r="I550" s="3" t="n">
        <v>9</v>
      </c>
      <c r="J550" s="3" t="s">
        <v>17</v>
      </c>
      <c r="K550" s="3" t="s">
        <v>17</v>
      </c>
    </row>
    <row r="551" customFormat="false" ht="15" hidden="false" customHeight="false" outlineLevel="0" collapsed="false">
      <c r="A551" s="3" t="s">
        <v>333</v>
      </c>
      <c r="B551" s="3" t="s">
        <v>334</v>
      </c>
      <c r="C551" s="3" t="s">
        <v>335</v>
      </c>
      <c r="D551" s="3" t="s">
        <v>33</v>
      </c>
      <c r="E551" s="3" t="s">
        <v>16</v>
      </c>
      <c r="F551" s="3" t="s">
        <v>17</v>
      </c>
      <c r="G551" s="3" t="s">
        <v>17</v>
      </c>
      <c r="H551" s="3" t="s">
        <v>17</v>
      </c>
      <c r="I551" s="3" t="n">
        <v>4</v>
      </c>
      <c r="J551" s="3" t="s">
        <v>17</v>
      </c>
      <c r="K551" s="3" t="s">
        <v>17</v>
      </c>
    </row>
    <row r="552" customFormat="false" ht="15" hidden="false" customHeight="false" outlineLevel="0" collapsed="false">
      <c r="A552" s="4" t="s">
        <v>333</v>
      </c>
      <c r="B552" s="4" t="s">
        <v>334</v>
      </c>
      <c r="C552" s="4" t="s">
        <v>335</v>
      </c>
      <c r="D552" s="4" t="s">
        <v>18</v>
      </c>
      <c r="E552" s="4" t="s">
        <v>19</v>
      </c>
      <c r="F552" s="4" t="n">
        <v>0</v>
      </c>
      <c r="G552" s="4" t="n">
        <v>0</v>
      </c>
      <c r="H552" s="4" t="n">
        <v>15</v>
      </c>
      <c r="I552" s="4" t="n">
        <v>2</v>
      </c>
      <c r="J552" s="4" t="n">
        <f aca="false">G552+I552</f>
        <v>2</v>
      </c>
      <c r="K552" s="4" t="n">
        <f aca="false">IF(H552&lt;=0,"",ROUND(J552/(H552/45),0))</f>
        <v>6</v>
      </c>
    </row>
    <row r="553" customFormat="false" ht="15" hidden="false" customHeight="false" outlineLevel="0" collapsed="false">
      <c r="A553" s="4" t="s">
        <v>336</v>
      </c>
      <c r="B553" s="4" t="s">
        <v>337</v>
      </c>
      <c r="C553" s="4" t="s">
        <v>338</v>
      </c>
      <c r="D553" s="4" t="s">
        <v>18</v>
      </c>
      <c r="E553" s="4" t="s">
        <v>19</v>
      </c>
      <c r="F553" s="4" t="n">
        <v>0</v>
      </c>
      <c r="G553" s="4" t="n">
        <v>0</v>
      </c>
      <c r="H553" s="4" t="n">
        <v>6.7</v>
      </c>
      <c r="I553" s="4" t="n">
        <v>2</v>
      </c>
      <c r="J553" s="4" t="n">
        <f aca="false">G553+I553</f>
        <v>2</v>
      </c>
      <c r="K553" s="4" t="n">
        <f aca="false">IF(H553&lt;=0,"",ROUND(J553/(H553/45),0))</f>
        <v>13</v>
      </c>
    </row>
    <row r="554" customFormat="false" ht="15" hidden="false" customHeight="false" outlineLevel="0" collapsed="false">
      <c r="A554" s="4" t="s">
        <v>336</v>
      </c>
      <c r="B554" s="4" t="s">
        <v>337</v>
      </c>
      <c r="C554" s="4" t="s">
        <v>338</v>
      </c>
      <c r="D554" s="4" t="s">
        <v>39</v>
      </c>
      <c r="E554" s="4" t="s">
        <v>19</v>
      </c>
      <c r="F554" s="4" t="n">
        <v>0</v>
      </c>
      <c r="G554" s="4" t="n">
        <v>0</v>
      </c>
      <c r="H554" s="4" t="n">
        <v>6</v>
      </c>
      <c r="I554" s="4" t="n">
        <v>2</v>
      </c>
      <c r="J554" s="4" t="n">
        <f aca="false">G554+I554</f>
        <v>2</v>
      </c>
      <c r="K554" s="4" t="n">
        <f aca="false">IF(H554&lt;=0,"",ROUND(J554/(H554/45),0))</f>
        <v>15</v>
      </c>
    </row>
    <row r="555" customFormat="false" ht="15" hidden="false" customHeight="false" outlineLevel="0" collapsed="false">
      <c r="A555" s="3" t="s">
        <v>339</v>
      </c>
      <c r="B555" s="3" t="s">
        <v>340</v>
      </c>
      <c r="C555" s="3" t="s">
        <v>341</v>
      </c>
      <c r="D555" s="3" t="s">
        <v>15</v>
      </c>
      <c r="E555" s="3" t="s">
        <v>16</v>
      </c>
      <c r="F555" s="3" t="s">
        <v>17</v>
      </c>
      <c r="G555" s="3" t="s">
        <v>17</v>
      </c>
      <c r="H555" s="3" t="s">
        <v>17</v>
      </c>
      <c r="I555" s="3" t="n">
        <v>5</v>
      </c>
      <c r="J555" s="3" t="s">
        <v>17</v>
      </c>
      <c r="K555" s="3" t="s">
        <v>17</v>
      </c>
    </row>
    <row r="556" customFormat="false" ht="15" hidden="false" customHeight="false" outlineLevel="0" collapsed="false">
      <c r="A556" s="3" t="s">
        <v>339</v>
      </c>
      <c r="B556" s="3" t="s">
        <v>340</v>
      </c>
      <c r="C556" s="3" t="s">
        <v>341</v>
      </c>
      <c r="D556" s="3" t="s">
        <v>33</v>
      </c>
      <c r="E556" s="3" t="s">
        <v>16</v>
      </c>
      <c r="F556" s="3" t="s">
        <v>17</v>
      </c>
      <c r="G556" s="3" t="s">
        <v>17</v>
      </c>
      <c r="H556" s="3" t="s">
        <v>17</v>
      </c>
      <c r="I556" s="3" t="n">
        <v>2</v>
      </c>
      <c r="J556" s="3" t="s">
        <v>17</v>
      </c>
      <c r="K556" s="3" t="s">
        <v>17</v>
      </c>
    </row>
    <row r="557" customFormat="false" ht="15" hidden="false" customHeight="false" outlineLevel="0" collapsed="false">
      <c r="A557" s="4" t="s">
        <v>339</v>
      </c>
      <c r="B557" s="4" t="s">
        <v>340</v>
      </c>
      <c r="C557" s="4" t="s">
        <v>341</v>
      </c>
      <c r="D557" s="4" t="s">
        <v>18</v>
      </c>
      <c r="E557" s="4" t="s">
        <v>19</v>
      </c>
      <c r="F557" s="4" t="n">
        <v>0</v>
      </c>
      <c r="G557" s="4" t="n">
        <v>0</v>
      </c>
      <c r="H557" s="4" t="n">
        <v>9</v>
      </c>
      <c r="I557" s="4" t="n">
        <v>2</v>
      </c>
      <c r="J557" s="4" t="n">
        <f aca="false">G557+I557</f>
        <v>2</v>
      </c>
      <c r="K557" s="4" t="n">
        <f aca="false">IF(H557&lt;=0,"",ROUND(J557/(H557/45),0))</f>
        <v>10</v>
      </c>
    </row>
    <row r="558" customFormat="false" ht="15" hidden="false" customHeight="false" outlineLevel="0" collapsed="false">
      <c r="A558" s="3" t="s">
        <v>342</v>
      </c>
      <c r="B558" s="3" t="s">
        <v>343</v>
      </c>
      <c r="C558" s="3" t="s">
        <v>344</v>
      </c>
      <c r="D558" s="3" t="s">
        <v>15</v>
      </c>
      <c r="E558" s="3" t="s">
        <v>16</v>
      </c>
      <c r="F558" s="3" t="s">
        <v>17</v>
      </c>
      <c r="G558" s="3" t="s">
        <v>17</v>
      </c>
      <c r="H558" s="3" t="s">
        <v>17</v>
      </c>
      <c r="I558" s="3" t="n">
        <v>4</v>
      </c>
      <c r="J558" s="3" t="s">
        <v>17</v>
      </c>
      <c r="K558" s="3" t="s">
        <v>17</v>
      </c>
    </row>
    <row r="559" customFormat="false" ht="15" hidden="false" customHeight="false" outlineLevel="0" collapsed="false">
      <c r="A559" s="4" t="s">
        <v>342</v>
      </c>
      <c r="B559" s="4" t="s">
        <v>343</v>
      </c>
      <c r="C559" s="4" t="s">
        <v>344</v>
      </c>
      <c r="D559" s="4" t="s">
        <v>18</v>
      </c>
      <c r="E559" s="4" t="s">
        <v>19</v>
      </c>
      <c r="F559" s="4" t="n">
        <v>0</v>
      </c>
      <c r="G559" s="4" t="n">
        <v>0</v>
      </c>
      <c r="H559" s="4" t="n">
        <v>6</v>
      </c>
      <c r="I559" s="4" t="n">
        <v>2</v>
      </c>
      <c r="J559" s="4" t="n">
        <f aca="false">G559+I559</f>
        <v>2</v>
      </c>
      <c r="K559" s="4" t="n">
        <f aca="false">IF(H559&lt;=0,"",ROUND(J559/(H559/45),0))</f>
        <v>15</v>
      </c>
    </row>
    <row r="560" customFormat="false" ht="15" hidden="false" customHeight="false" outlineLevel="0" collapsed="false">
      <c r="A560" s="3" t="s">
        <v>345</v>
      </c>
      <c r="B560" s="3" t="s">
        <v>346</v>
      </c>
      <c r="C560" s="3" t="s">
        <v>347</v>
      </c>
      <c r="D560" s="3" t="s">
        <v>15</v>
      </c>
      <c r="E560" s="3" t="s">
        <v>16</v>
      </c>
      <c r="F560" s="3" t="s">
        <v>17</v>
      </c>
      <c r="G560" s="3" t="s">
        <v>17</v>
      </c>
      <c r="H560" s="3" t="s">
        <v>17</v>
      </c>
      <c r="I560" s="3" t="n">
        <v>9</v>
      </c>
      <c r="J560" s="3" t="s">
        <v>17</v>
      </c>
      <c r="K560" s="3" t="s">
        <v>17</v>
      </c>
    </row>
    <row r="561" customFormat="false" ht="15" hidden="false" customHeight="false" outlineLevel="0" collapsed="false">
      <c r="A561" s="3" t="s">
        <v>345</v>
      </c>
      <c r="B561" s="3" t="s">
        <v>346</v>
      </c>
      <c r="C561" s="3" t="s">
        <v>347</v>
      </c>
      <c r="D561" s="3" t="s">
        <v>33</v>
      </c>
      <c r="E561" s="3" t="s">
        <v>16</v>
      </c>
      <c r="F561" s="3" t="s">
        <v>17</v>
      </c>
      <c r="G561" s="3" t="s">
        <v>17</v>
      </c>
      <c r="H561" s="3" t="s">
        <v>17</v>
      </c>
      <c r="I561" s="3" t="n">
        <v>4</v>
      </c>
      <c r="J561" s="3" t="s">
        <v>17</v>
      </c>
      <c r="K561" s="3" t="s">
        <v>17</v>
      </c>
    </row>
    <row r="562" customFormat="false" ht="15" hidden="false" customHeight="false" outlineLevel="0" collapsed="false">
      <c r="A562" s="4" t="s">
        <v>345</v>
      </c>
      <c r="B562" s="4" t="s">
        <v>346</v>
      </c>
      <c r="C562" s="4" t="s">
        <v>347</v>
      </c>
      <c r="D562" s="4" t="s">
        <v>18</v>
      </c>
      <c r="E562" s="4" t="s">
        <v>19</v>
      </c>
      <c r="F562" s="4" t="n">
        <v>0</v>
      </c>
      <c r="G562" s="4" t="n">
        <v>0</v>
      </c>
      <c r="H562" s="4" t="n">
        <v>15</v>
      </c>
      <c r="I562" s="4" t="n">
        <v>2</v>
      </c>
      <c r="J562" s="4" t="n">
        <f aca="false">G562+I562</f>
        <v>2</v>
      </c>
      <c r="K562" s="4" t="n">
        <f aca="false">IF(H562&lt;=0,"",ROUND(J562/(H562/45),0))</f>
        <v>6</v>
      </c>
    </row>
    <row r="563" customFormat="false" ht="15" hidden="false" customHeight="false" outlineLevel="0" collapsed="false">
      <c r="A563" s="4" t="s">
        <v>348</v>
      </c>
      <c r="B563" s="4" t="s">
        <v>349</v>
      </c>
      <c r="C563" s="4" t="s">
        <v>350</v>
      </c>
      <c r="D563" s="4" t="s">
        <v>18</v>
      </c>
      <c r="E563" s="4" t="s">
        <v>19</v>
      </c>
      <c r="F563" s="4" t="n">
        <v>0</v>
      </c>
      <c r="G563" s="4" t="n">
        <v>0</v>
      </c>
      <c r="H563" s="4" t="n">
        <v>6</v>
      </c>
      <c r="I563" s="4" t="n">
        <v>5</v>
      </c>
      <c r="J563" s="4" t="n">
        <f aca="false">G563+I563</f>
        <v>5</v>
      </c>
      <c r="K563" s="4" t="n">
        <f aca="false">IF(H563&lt;=0,"",ROUND(J563/(H563/45),0))</f>
        <v>38</v>
      </c>
    </row>
    <row r="564" customFormat="false" ht="15" hidden="false" customHeight="false" outlineLevel="0" collapsed="false">
      <c r="A564" s="4" t="s">
        <v>351</v>
      </c>
      <c r="B564" s="4" t="s">
        <v>352</v>
      </c>
      <c r="C564" s="4" t="s">
        <v>353</v>
      </c>
      <c r="D564" s="4" t="s">
        <v>18</v>
      </c>
      <c r="E564" s="4" t="s">
        <v>19</v>
      </c>
      <c r="F564" s="4" t="n">
        <v>0</v>
      </c>
      <c r="G564" s="4" t="n">
        <v>0</v>
      </c>
      <c r="H564" s="4" t="n">
        <v>6</v>
      </c>
      <c r="I564" s="4" t="n">
        <v>6</v>
      </c>
      <c r="J564" s="4" t="n">
        <f aca="false">G564+I564</f>
        <v>6</v>
      </c>
      <c r="K564" s="4" t="n">
        <f aca="false">IF(H564&lt;=0,"",ROUND(J564/(H564/45),0))</f>
        <v>45</v>
      </c>
    </row>
    <row r="565" customFormat="false" ht="15" hidden="false" customHeight="false" outlineLevel="0" collapsed="false">
      <c r="A565" s="4" t="s">
        <v>354</v>
      </c>
      <c r="B565" s="4" t="s">
        <v>355</v>
      </c>
      <c r="C565" s="4" t="s">
        <v>356</v>
      </c>
      <c r="D565" s="4" t="s">
        <v>18</v>
      </c>
      <c r="E565" s="4" t="s">
        <v>19</v>
      </c>
      <c r="F565" s="4" t="n">
        <v>0</v>
      </c>
      <c r="G565" s="4" t="n">
        <v>0</v>
      </c>
      <c r="H565" s="4" t="n">
        <v>6</v>
      </c>
      <c r="I565" s="4" t="n">
        <v>6</v>
      </c>
      <c r="J565" s="4" t="n">
        <f aca="false">G565+I565</f>
        <v>6</v>
      </c>
      <c r="K565" s="4" t="n">
        <f aca="false">IF(H565&lt;=0,"",ROUND(J565/(H565/45),0))</f>
        <v>45</v>
      </c>
    </row>
  </sheetData>
  <autoFilter ref="A2:K5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5"/>
    <col collapsed="false" customWidth="true" hidden="false" outlineLevel="0" max="4" min="4" style="0" width="10"/>
    <col collapsed="false" customWidth="true" hidden="false" outlineLevel="0" max="5" min="5" style="0" width="13"/>
    <col collapsed="false" customWidth="true" hidden="false" outlineLevel="0" max="8" min="6" style="0" width="14"/>
    <col collapsed="false" customWidth="true" hidden="false" outlineLevel="0" max="9" min="9" style="0" width="10"/>
    <col collapsed="false" customWidth="true" hidden="false" outlineLevel="0" max="10" min="10" style="0" width="12"/>
    <col collapsed="false" customWidth="true" hidden="false" outlineLevel="0" max="11" min="11" style="0" width="16"/>
    <col collapsed="false" customWidth="true" hidden="false" outlineLevel="0" max="12" min="12" style="0" width="10"/>
    <col collapsed="false" customWidth="true" hidden="false" outlineLevel="0" max="14" min="13" style="0" width="14"/>
    <col collapsed="false" customWidth="true" hidden="false" outlineLevel="0" max="15" min="15" style="0" width="21"/>
    <col collapsed="false" customWidth="true" hidden="false" outlineLevel="0" max="16" min="16" style="0" width="46"/>
  </cols>
  <sheetData>
    <row r="1" customFormat="false" ht="15" hidden="false" customHeight="false" outlineLevel="0" collapsed="false">
      <c r="A1" s="1" t="s">
        <v>0</v>
      </c>
      <c r="B1" s="1" t="n">
        <f aca="false">SUM(B3:B25)</f>
        <v>3880</v>
      </c>
      <c r="C1" s="1" t="n">
        <f aca="false">SUM(C3:C25)</f>
        <v>5849.3</v>
      </c>
      <c r="D1" s="1"/>
      <c r="E1" s="1" t="n">
        <f aca="false">SUM(E3:E25)</f>
        <v>7571</v>
      </c>
      <c r="F1" s="1"/>
      <c r="G1" s="1" t="n">
        <f aca="false">SUM(G3:G25)</f>
        <v>11274</v>
      </c>
      <c r="H1" s="1" t="n">
        <f aca="false">SUM(H3:H25)</f>
        <v>3744</v>
      </c>
      <c r="I1" s="1" t="n">
        <f aca="false">SUM(I3:I25)</f>
        <v>563</v>
      </c>
      <c r="J1" s="1" t="n">
        <f aca="false">SUM(J3:J25)</f>
        <v>22589</v>
      </c>
      <c r="K1" s="1"/>
      <c r="L1" s="1" t="n">
        <f aca="false">SUM(L3:L25)</f>
        <v>70112</v>
      </c>
      <c r="M1" s="1" t="n">
        <f aca="false">SUM(M3:M25)</f>
        <v>61485</v>
      </c>
      <c r="N1" s="1" t="n">
        <f aca="false">SUM(N3:N25)</f>
        <v>47523</v>
      </c>
      <c r="O1" s="1"/>
      <c r="P1" s="1"/>
    </row>
    <row r="2" customFormat="false" ht="15" hidden="false" customHeight="false" outlineLevel="0" collapsed="false">
      <c r="A2" s="2" t="s">
        <v>357</v>
      </c>
      <c r="B2" s="2" t="s">
        <v>358</v>
      </c>
      <c r="C2" s="2" t="s">
        <v>359</v>
      </c>
      <c r="D2" s="2" t="s">
        <v>360</v>
      </c>
      <c r="E2" s="2" t="s">
        <v>361</v>
      </c>
      <c r="F2" s="2" t="s">
        <v>362</v>
      </c>
      <c r="G2" s="2" t="s">
        <v>363</v>
      </c>
      <c r="H2" s="2" t="s">
        <v>364</v>
      </c>
      <c r="I2" s="2" t="s">
        <v>365</v>
      </c>
      <c r="J2" s="2" t="s">
        <v>10</v>
      </c>
      <c r="K2" s="2" t="s">
        <v>11</v>
      </c>
      <c r="L2" s="2" t="s">
        <v>366</v>
      </c>
      <c r="M2" s="2" t="s">
        <v>367</v>
      </c>
      <c r="N2" s="2" t="s">
        <v>368</v>
      </c>
      <c r="O2" s="2" t="s">
        <v>369</v>
      </c>
      <c r="P2" s="2" t="s">
        <v>370</v>
      </c>
    </row>
    <row r="3" customFormat="false" ht="15" hidden="false" customHeight="false" outlineLevel="0" collapsed="false">
      <c r="A3" s="4" t="s">
        <v>82</v>
      </c>
      <c r="B3" s="4" t="n">
        <v>144</v>
      </c>
      <c r="C3" s="4" t="n">
        <v>194.4</v>
      </c>
      <c r="D3" s="4" t="n">
        <f aca="false">ROUND(C3/15,2)</f>
        <v>12.96</v>
      </c>
      <c r="E3" s="4" t="n">
        <v>352</v>
      </c>
      <c r="F3" s="4" t="n">
        <f aca="false">IF(D3&lt;=0,"n/a",ROUND(E3/D3,0))</f>
        <v>27</v>
      </c>
      <c r="G3" s="4" t="n">
        <v>624</v>
      </c>
      <c r="H3" s="4" t="n">
        <v>68</v>
      </c>
      <c r="I3" s="4" t="n">
        <v>12</v>
      </c>
      <c r="J3" s="4" t="n">
        <f aca="false">E3+G3+H3</f>
        <v>1044</v>
      </c>
      <c r="K3" s="4" t="n">
        <f aca="false">IF(D3&lt;=0,"n/a",ROUND(J3/D3,0))</f>
        <v>81</v>
      </c>
      <c r="L3" s="4" t="n">
        <v>16152</v>
      </c>
      <c r="M3" s="4" t="n">
        <v>15962</v>
      </c>
      <c r="N3" s="4" t="n">
        <f aca="false">L3-J3</f>
        <v>15108</v>
      </c>
      <c r="O3" s="4" t="s">
        <v>371</v>
      </c>
      <c r="P3" s="4" t="s">
        <v>372</v>
      </c>
    </row>
    <row r="4" customFormat="false" ht="15" hidden="false" customHeight="false" outlineLevel="0" collapsed="false">
      <c r="A4" s="4" t="s">
        <v>29</v>
      </c>
      <c r="B4" s="4" t="n">
        <v>34</v>
      </c>
      <c r="C4" s="4" t="n">
        <v>53.6</v>
      </c>
      <c r="D4" s="4" t="n">
        <f aca="false">ROUND(C4/15,2)</f>
        <v>3.57</v>
      </c>
      <c r="E4" s="4" t="n">
        <v>162</v>
      </c>
      <c r="F4" s="4" t="n">
        <f aca="false">IF(D4&lt;=0,"n/a",ROUND(E4/D4,0))</f>
        <v>45</v>
      </c>
      <c r="G4" s="4" t="n">
        <v>393</v>
      </c>
      <c r="H4" s="4" t="n">
        <v>18</v>
      </c>
      <c r="I4" s="4" t="n">
        <v>5</v>
      </c>
      <c r="J4" s="4" t="n">
        <f aca="false">E4+G4+H4</f>
        <v>573</v>
      </c>
      <c r="K4" s="4" t="n">
        <f aca="false">IF(D4&lt;=0,"n/a",ROUND(J4/D4,0))</f>
        <v>161</v>
      </c>
      <c r="L4" s="4" t="n">
        <v>750</v>
      </c>
      <c r="M4" s="4" t="n">
        <v>595</v>
      </c>
      <c r="N4" s="4" t="n">
        <f aca="false">L4-J4</f>
        <v>177</v>
      </c>
      <c r="O4" s="4" t="s">
        <v>371</v>
      </c>
      <c r="P4" s="4" t="s">
        <v>373</v>
      </c>
    </row>
    <row r="5" customFormat="false" ht="15" hidden="false" customHeight="false" outlineLevel="0" collapsed="false">
      <c r="A5" s="5" t="s">
        <v>74</v>
      </c>
      <c r="B5" s="5" t="n">
        <v>219</v>
      </c>
      <c r="C5" s="5" t="n">
        <v>275.8</v>
      </c>
      <c r="D5" s="5" t="n">
        <f aca="false">ROUND(C5/15,2)</f>
        <v>18.39</v>
      </c>
      <c r="E5" s="5" t="n">
        <v>443</v>
      </c>
      <c r="F5" s="5" t="n">
        <f aca="false">IF(D5&lt;=0,"n/a",ROUND(E5/D5,0))</f>
        <v>24</v>
      </c>
      <c r="G5" s="5" t="n">
        <v>220</v>
      </c>
      <c r="H5" s="5" t="n">
        <v>86</v>
      </c>
      <c r="I5" s="5" t="n">
        <v>27</v>
      </c>
      <c r="J5" s="5" t="n">
        <f aca="false">E5+G5+H5</f>
        <v>749</v>
      </c>
      <c r="K5" s="5" t="n">
        <f aca="false">IF(D5&lt;=0,"n/a",ROUND(J5/D5,0))</f>
        <v>41</v>
      </c>
      <c r="L5" s="5" t="n">
        <v>750</v>
      </c>
      <c r="M5" s="5" t="n">
        <v>296</v>
      </c>
      <c r="N5" s="5" t="n">
        <f aca="false">L5-J5</f>
        <v>1</v>
      </c>
      <c r="O5" s="5" t="s">
        <v>374</v>
      </c>
      <c r="P5" s="5" t="s">
        <v>375</v>
      </c>
    </row>
    <row r="6" customFormat="false" ht="15" hidden="false" customHeight="false" outlineLevel="0" collapsed="false">
      <c r="A6" s="5" t="s">
        <v>30</v>
      </c>
      <c r="B6" s="5" t="n">
        <v>372</v>
      </c>
      <c r="C6" s="5" t="n">
        <v>490.3</v>
      </c>
      <c r="D6" s="5" t="n">
        <f aca="false">ROUND(C6/15,2)</f>
        <v>32.69</v>
      </c>
      <c r="E6" s="5" t="n">
        <v>476</v>
      </c>
      <c r="F6" s="5" t="n">
        <f aca="false">IF(D6&lt;=0,"n/a",ROUND(E6/D6,0))</f>
        <v>15</v>
      </c>
      <c r="G6" s="5" t="n">
        <v>765</v>
      </c>
      <c r="H6" s="5" t="n">
        <v>217</v>
      </c>
      <c r="I6" s="5" t="n">
        <v>38</v>
      </c>
      <c r="J6" s="5" t="n">
        <f aca="false">E6+G6+H6</f>
        <v>1458</v>
      </c>
      <c r="K6" s="5" t="n">
        <f aca="false">IF(D6&lt;=0,"n/a",ROUND(J6/D6,0))</f>
        <v>45</v>
      </c>
      <c r="L6" s="5" t="n">
        <v>1458</v>
      </c>
      <c r="M6" s="5" t="n">
        <v>1011</v>
      </c>
      <c r="N6" s="5" t="n">
        <f aca="false">L6-J6</f>
        <v>0</v>
      </c>
      <c r="O6" s="5" t="s">
        <v>374</v>
      </c>
      <c r="P6" s="5" t="s">
        <v>376</v>
      </c>
    </row>
    <row r="7" customFormat="false" ht="15" hidden="false" customHeight="false" outlineLevel="0" collapsed="false">
      <c r="A7" s="5" t="s">
        <v>182</v>
      </c>
      <c r="B7" s="5" t="n">
        <v>147</v>
      </c>
      <c r="C7" s="5" t="n">
        <v>173.2</v>
      </c>
      <c r="D7" s="5" t="n">
        <f aca="false">ROUND(C7/15,2)</f>
        <v>11.55</v>
      </c>
      <c r="E7" s="5" t="n">
        <v>377</v>
      </c>
      <c r="F7" s="5" t="n">
        <f aca="false">IF(D7&lt;=0,"n/a",ROUND(E7/D7,0))</f>
        <v>33</v>
      </c>
      <c r="G7" s="5" t="n">
        <v>352</v>
      </c>
      <c r="H7" s="5" t="n">
        <v>20</v>
      </c>
      <c r="I7" s="5" t="n">
        <v>10</v>
      </c>
      <c r="J7" s="5" t="n">
        <f aca="false">E7+G7+H7</f>
        <v>749</v>
      </c>
      <c r="K7" s="5" t="n">
        <f aca="false">IF(D7&lt;=0,"n/a",ROUND(J7/D7,0))</f>
        <v>65</v>
      </c>
      <c r="L7" s="5" t="n">
        <v>750</v>
      </c>
      <c r="M7" s="5" t="n">
        <v>428</v>
      </c>
      <c r="N7" s="5" t="n">
        <f aca="false">L7-J7</f>
        <v>1</v>
      </c>
      <c r="O7" s="5" t="s">
        <v>374</v>
      </c>
      <c r="P7" s="5" t="s">
        <v>377</v>
      </c>
    </row>
    <row r="8" customFormat="false" ht="15" hidden="false" customHeight="false" outlineLevel="0" collapsed="false">
      <c r="A8" s="5" t="s">
        <v>31</v>
      </c>
      <c r="B8" s="5" t="n">
        <v>297</v>
      </c>
      <c r="C8" s="5" t="n">
        <v>383.6</v>
      </c>
      <c r="D8" s="5" t="n">
        <f aca="false">ROUND(C8/15,2)</f>
        <v>25.57</v>
      </c>
      <c r="E8" s="5" t="n">
        <v>254</v>
      </c>
      <c r="F8" s="5" t="n">
        <f aca="false">IF(D8&lt;=0,"n/a",ROUND(E8/D8,0))</f>
        <v>10</v>
      </c>
      <c r="G8" s="5" t="n">
        <v>432</v>
      </c>
      <c r="H8" s="5" t="n">
        <v>64</v>
      </c>
      <c r="I8" s="5" t="n">
        <v>31</v>
      </c>
      <c r="J8" s="5" t="n">
        <f aca="false">E8+G8+H8</f>
        <v>750</v>
      </c>
      <c r="K8" s="5" t="n">
        <f aca="false">IF(D8&lt;=0,"n/a",ROUND(J8/D8,0))</f>
        <v>29</v>
      </c>
      <c r="L8" s="5" t="n">
        <v>750</v>
      </c>
      <c r="M8" s="5" t="n">
        <v>470</v>
      </c>
      <c r="N8" s="5" t="n">
        <f aca="false">L8-J8</f>
        <v>0</v>
      </c>
      <c r="O8" s="5" t="s">
        <v>374</v>
      </c>
      <c r="P8" s="5" t="s">
        <v>378</v>
      </c>
    </row>
    <row r="9" customFormat="false" ht="15" hidden="false" customHeight="false" outlineLevel="0" collapsed="false">
      <c r="A9" s="4" t="s">
        <v>75</v>
      </c>
      <c r="B9" s="4" t="n">
        <v>92</v>
      </c>
      <c r="C9" s="4" t="n">
        <v>125</v>
      </c>
      <c r="D9" s="4" t="n">
        <f aca="false">ROUND(C9/15,2)</f>
        <v>8.33</v>
      </c>
      <c r="E9" s="4" t="n">
        <v>212</v>
      </c>
      <c r="F9" s="4" t="n">
        <f aca="false">IF(D9&lt;=0,"n/a",ROUND(E9/D9,0))</f>
        <v>25</v>
      </c>
      <c r="G9" s="4" t="n">
        <v>97</v>
      </c>
      <c r="H9" s="4" t="n">
        <v>50</v>
      </c>
      <c r="I9" s="4" t="n">
        <v>9</v>
      </c>
      <c r="J9" s="4" t="n">
        <f aca="false">E9+G9+H9</f>
        <v>359</v>
      </c>
      <c r="K9" s="4" t="n">
        <f aca="false">IF(D9&lt;=0,"n/a",ROUND(J9/D9,0))</f>
        <v>43</v>
      </c>
      <c r="L9" s="4" t="n">
        <v>750</v>
      </c>
      <c r="M9" s="4" t="n">
        <v>271</v>
      </c>
      <c r="N9" s="4" t="n">
        <f aca="false">L9-J9</f>
        <v>391</v>
      </c>
      <c r="O9" s="4" t="s">
        <v>371</v>
      </c>
      <c r="P9" s="4" t="s">
        <v>379</v>
      </c>
    </row>
    <row r="10" customFormat="false" ht="15" hidden="false" customHeight="false" outlineLevel="0" collapsed="false">
      <c r="A10" s="4" t="s">
        <v>76</v>
      </c>
      <c r="B10" s="4" t="n">
        <v>246</v>
      </c>
      <c r="C10" s="4" t="n">
        <v>261.1</v>
      </c>
      <c r="D10" s="4" t="n">
        <f aca="false">ROUND(C10/15,2)</f>
        <v>17.41</v>
      </c>
      <c r="E10" s="4" t="n">
        <v>399</v>
      </c>
      <c r="F10" s="4" t="n">
        <f aca="false">IF(D10&lt;=0,"n/a",ROUND(E10/D10,0))</f>
        <v>23</v>
      </c>
      <c r="G10" s="4" t="n">
        <v>388</v>
      </c>
      <c r="H10" s="4" t="n">
        <v>143</v>
      </c>
      <c r="I10" s="4" t="n">
        <v>17</v>
      </c>
      <c r="J10" s="4" t="n">
        <f aca="false">E10+G10+H10</f>
        <v>930</v>
      </c>
      <c r="K10" s="4" t="n">
        <f aca="false">IF(D10&lt;=0,"n/a",ROUND(J10/D10,0))</f>
        <v>53</v>
      </c>
      <c r="L10" s="4" t="n">
        <v>2618</v>
      </c>
      <c r="M10" s="4" t="n">
        <v>2267</v>
      </c>
      <c r="N10" s="4" t="n">
        <f aca="false">L10-J10</f>
        <v>1688</v>
      </c>
      <c r="O10" s="4" t="s">
        <v>371</v>
      </c>
      <c r="P10" s="4" t="s">
        <v>380</v>
      </c>
    </row>
    <row r="11" customFormat="false" ht="15" hidden="false" customHeight="false" outlineLevel="0" collapsed="false">
      <c r="A11" s="5" t="s">
        <v>32</v>
      </c>
      <c r="B11" s="5" t="n">
        <v>132</v>
      </c>
      <c r="C11" s="5" t="n">
        <v>242.7</v>
      </c>
      <c r="D11" s="5" t="n">
        <f aca="false">ROUND(C11/15,2)</f>
        <v>16.18</v>
      </c>
      <c r="E11" s="5" t="n">
        <v>212</v>
      </c>
      <c r="F11" s="5" t="n">
        <f aca="false">IF(D11&lt;=0,"n/a",ROUND(E11/D11,0))</f>
        <v>13</v>
      </c>
      <c r="G11" s="5" t="n">
        <v>3</v>
      </c>
      <c r="H11" s="5" t="n">
        <v>123</v>
      </c>
      <c r="I11" s="5" t="n">
        <v>30</v>
      </c>
      <c r="J11" s="5" t="n">
        <f aca="false">E11+G11+H11</f>
        <v>338</v>
      </c>
      <c r="K11" s="5" t="n">
        <f aca="false">IF(D11&lt;=0,"n/a",ROUND(J11/D11,0))</f>
        <v>21</v>
      </c>
      <c r="L11" s="5" t="n">
        <v>750</v>
      </c>
      <c r="M11" s="5" t="n">
        <v>123</v>
      </c>
      <c r="N11" s="5" t="n">
        <f aca="false">L11-J11</f>
        <v>412</v>
      </c>
      <c r="O11" s="5" t="s">
        <v>374</v>
      </c>
      <c r="P11" s="5" t="s">
        <v>381</v>
      </c>
    </row>
    <row r="12" customFormat="false" ht="15" hidden="false" customHeight="false" outlineLevel="0" collapsed="false">
      <c r="A12" s="4" t="s">
        <v>77</v>
      </c>
      <c r="B12" s="4" t="n">
        <v>59</v>
      </c>
      <c r="C12" s="4" t="n">
        <v>103.2</v>
      </c>
      <c r="D12" s="4" t="n">
        <f aca="false">ROUND(C12/15,2)</f>
        <v>6.88</v>
      </c>
      <c r="E12" s="4" t="n">
        <v>186</v>
      </c>
      <c r="F12" s="4" t="n">
        <f aca="false">IF(D12&lt;=0,"n/a",ROUND(E12/D12,0))</f>
        <v>27</v>
      </c>
      <c r="G12" s="4" t="n">
        <v>499</v>
      </c>
      <c r="H12" s="4" t="n">
        <v>58</v>
      </c>
      <c r="I12" s="4" t="n">
        <v>8</v>
      </c>
      <c r="J12" s="4" t="n">
        <f aca="false">E12+G12+H12</f>
        <v>743</v>
      </c>
      <c r="K12" s="4" t="n">
        <f aca="false">IF(D12&lt;=0,"n/a",ROUND(J12/D12,0))</f>
        <v>108</v>
      </c>
      <c r="L12" s="4" t="n">
        <v>750</v>
      </c>
      <c r="M12" s="4" t="n">
        <v>291</v>
      </c>
      <c r="N12" s="4" t="n">
        <f aca="false">L12-J12</f>
        <v>7</v>
      </c>
      <c r="O12" s="4" t="s">
        <v>371</v>
      </c>
      <c r="P12" s="4" t="s">
        <v>382</v>
      </c>
    </row>
    <row r="13" customFormat="false" ht="15" hidden="false" customHeight="false" outlineLevel="0" collapsed="false">
      <c r="A13" s="4" t="s">
        <v>66</v>
      </c>
      <c r="B13" s="4" t="n">
        <v>99</v>
      </c>
      <c r="C13" s="4" t="n">
        <v>176.7</v>
      </c>
      <c r="D13" s="4" t="n">
        <f aca="false">ROUND(C13/15,2)</f>
        <v>11.78</v>
      </c>
      <c r="E13" s="4" t="n">
        <v>542</v>
      </c>
      <c r="F13" s="4" t="n">
        <f aca="false">IF(D13&lt;=0,"n/a",ROUND(E13/D13,0))</f>
        <v>46</v>
      </c>
      <c r="G13" s="4" t="n">
        <v>71</v>
      </c>
      <c r="H13" s="4" t="n">
        <v>86</v>
      </c>
      <c r="I13" s="4" t="n">
        <v>17</v>
      </c>
      <c r="J13" s="4" t="n">
        <f aca="false">E13+G13+H13</f>
        <v>699</v>
      </c>
      <c r="K13" s="4" t="n">
        <f aca="false">IF(D13&lt;=0,"n/a",ROUND(J13/D13,0))</f>
        <v>59</v>
      </c>
      <c r="L13" s="4" t="n">
        <v>750</v>
      </c>
      <c r="M13" s="4" t="n">
        <v>498</v>
      </c>
      <c r="N13" s="4" t="n">
        <f aca="false">L13-J13</f>
        <v>51</v>
      </c>
      <c r="O13" s="4" t="s">
        <v>371</v>
      </c>
      <c r="P13" s="4" t="s">
        <v>383</v>
      </c>
    </row>
    <row r="14" customFormat="false" ht="15" hidden="false" customHeight="false" outlineLevel="0" collapsed="false">
      <c r="A14" s="4" t="s">
        <v>34</v>
      </c>
      <c r="B14" s="4" t="n">
        <v>104</v>
      </c>
      <c r="C14" s="4" t="n">
        <v>174.6</v>
      </c>
      <c r="D14" s="4" t="n">
        <f aca="false">ROUND(C14/15,2)</f>
        <v>11.64</v>
      </c>
      <c r="E14" s="4" t="n">
        <v>489</v>
      </c>
      <c r="F14" s="4" t="n">
        <f aca="false">IF(D14&lt;=0,"n/a",ROUND(E14/D14,0))</f>
        <v>42</v>
      </c>
      <c r="G14" s="4" t="n">
        <v>129</v>
      </c>
      <c r="H14" s="4" t="n">
        <v>92</v>
      </c>
      <c r="I14" s="4" t="n">
        <v>15</v>
      </c>
      <c r="J14" s="4" t="n">
        <f aca="false">E14+G14+H14</f>
        <v>710</v>
      </c>
      <c r="K14" s="4" t="n">
        <f aca="false">IF(D14&lt;=0,"n/a",ROUND(J14/D14,0))</f>
        <v>61</v>
      </c>
      <c r="L14" s="4" t="n">
        <v>750</v>
      </c>
      <c r="M14" s="4" t="n">
        <v>593</v>
      </c>
      <c r="N14" s="4" t="n">
        <f aca="false">L14-J14</f>
        <v>40</v>
      </c>
      <c r="O14" s="4" t="s">
        <v>371</v>
      </c>
      <c r="P14" s="4" t="s">
        <v>384</v>
      </c>
    </row>
    <row r="15" customFormat="false" ht="15" hidden="false" customHeight="false" outlineLevel="0" collapsed="false">
      <c r="A15" s="4" t="s">
        <v>53</v>
      </c>
      <c r="B15" s="4" t="n">
        <v>182</v>
      </c>
      <c r="C15" s="4" t="n">
        <v>290.7</v>
      </c>
      <c r="D15" s="4" t="n">
        <f aca="false">ROUND(C15/15,2)</f>
        <v>19.38</v>
      </c>
      <c r="E15" s="4" t="n">
        <v>267</v>
      </c>
      <c r="F15" s="4" t="n">
        <f aca="false">IF(D15&lt;=0,"n/a",ROUND(E15/D15,0))</f>
        <v>14</v>
      </c>
      <c r="G15" s="4" t="n">
        <v>386</v>
      </c>
      <c r="H15" s="4" t="n">
        <v>183</v>
      </c>
      <c r="I15" s="4" t="n">
        <v>28</v>
      </c>
      <c r="J15" s="4" t="n">
        <f aca="false">E15+G15+H15</f>
        <v>836</v>
      </c>
      <c r="K15" s="4" t="n">
        <f aca="false">IF(D15&lt;=0,"n/a",ROUND(J15/D15,0))</f>
        <v>43</v>
      </c>
      <c r="L15" s="4" t="n">
        <v>3897</v>
      </c>
      <c r="M15" s="4" t="n">
        <v>3687</v>
      </c>
      <c r="N15" s="4" t="n">
        <f aca="false">L15-J15</f>
        <v>3061</v>
      </c>
      <c r="O15" s="4" t="s">
        <v>371</v>
      </c>
      <c r="P15" s="4" t="s">
        <v>385</v>
      </c>
    </row>
    <row r="16" customFormat="false" ht="15" hidden="false" customHeight="false" outlineLevel="0" collapsed="false">
      <c r="A16" s="4" t="s">
        <v>35</v>
      </c>
      <c r="B16" s="4" t="n">
        <v>145</v>
      </c>
      <c r="C16" s="4" t="n">
        <v>166.1</v>
      </c>
      <c r="D16" s="4" t="n">
        <f aca="false">ROUND(C16/15,2)</f>
        <v>11.07</v>
      </c>
      <c r="E16" s="4" t="n">
        <v>303</v>
      </c>
      <c r="F16" s="4" t="n">
        <f aca="false">IF(D16&lt;=0,"n/a",ROUND(E16/D16,0))</f>
        <v>27</v>
      </c>
      <c r="G16" s="4" t="n">
        <v>175</v>
      </c>
      <c r="H16" s="4" t="n">
        <v>107</v>
      </c>
      <c r="I16" s="4" t="n">
        <v>13</v>
      </c>
      <c r="J16" s="4" t="n">
        <f aca="false">E16+G16+H16</f>
        <v>585</v>
      </c>
      <c r="K16" s="4" t="n">
        <f aca="false">IF(D16&lt;=0,"n/a",ROUND(J16/D16,0))</f>
        <v>53</v>
      </c>
      <c r="L16" s="4" t="n">
        <v>873</v>
      </c>
      <c r="M16" s="4" t="n">
        <v>545</v>
      </c>
      <c r="N16" s="4" t="n">
        <f aca="false">L16-J16</f>
        <v>288</v>
      </c>
      <c r="O16" s="4" t="s">
        <v>371</v>
      </c>
      <c r="P16" s="4" t="s">
        <v>386</v>
      </c>
    </row>
    <row r="17" customFormat="false" ht="15" hidden="false" customHeight="false" outlineLevel="0" collapsed="false">
      <c r="A17" s="5" t="s">
        <v>387</v>
      </c>
      <c r="B17" s="5" t="n">
        <v>239</v>
      </c>
      <c r="C17" s="5" t="n">
        <v>287</v>
      </c>
      <c r="D17" s="5" t="n">
        <f aca="false">ROUND(C17/15,2)</f>
        <v>19.13</v>
      </c>
      <c r="E17" s="5" t="n">
        <v>488</v>
      </c>
      <c r="F17" s="5" t="n">
        <f aca="false">IF(D17&lt;=0,"n/a",ROUND(E17/D17,0))</f>
        <v>26</v>
      </c>
      <c r="G17" s="5" t="n">
        <v>414</v>
      </c>
      <c r="H17" s="5" t="n">
        <v>0</v>
      </c>
      <c r="I17" s="5" t="n">
        <v>0</v>
      </c>
      <c r="J17" s="5" t="n">
        <f aca="false">E17+G17+H17</f>
        <v>902</v>
      </c>
      <c r="K17" s="5" t="n">
        <f aca="false">IF(D17&lt;=0,"n/a",ROUND(J17/D17,0))</f>
        <v>47</v>
      </c>
      <c r="L17" s="5" t="n">
        <v>763</v>
      </c>
      <c r="M17" s="5" t="n">
        <v>606</v>
      </c>
      <c r="N17" s="5" t="n">
        <f aca="false">L17-J17</f>
        <v>-139</v>
      </c>
      <c r="O17" s="5" t="s">
        <v>374</v>
      </c>
      <c r="P17" s="5" t="s">
        <v>388</v>
      </c>
    </row>
    <row r="18" customFormat="false" ht="15" hidden="false" customHeight="false" outlineLevel="0" collapsed="false">
      <c r="A18" s="4" t="s">
        <v>78</v>
      </c>
      <c r="B18" s="4" t="n">
        <v>70</v>
      </c>
      <c r="C18" s="4" t="n">
        <v>110.1</v>
      </c>
      <c r="D18" s="4" t="n">
        <f aca="false">ROUND(C18/15,2)</f>
        <v>7.34</v>
      </c>
      <c r="E18" s="4" t="n">
        <v>97</v>
      </c>
      <c r="F18" s="4" t="n">
        <f aca="false">IF(D18&lt;=0,"n/a",ROUND(E18/D18,0))</f>
        <v>13</v>
      </c>
      <c r="G18" s="4" t="n">
        <v>78</v>
      </c>
      <c r="H18" s="4" t="n">
        <v>39</v>
      </c>
      <c r="I18" s="4" t="n">
        <v>11</v>
      </c>
      <c r="J18" s="4" t="n">
        <f aca="false">E18+G18+H18</f>
        <v>214</v>
      </c>
      <c r="K18" s="4" t="n">
        <f aca="false">IF(D18&lt;=0,"n/a",ROUND(J18/D18,0))</f>
        <v>29</v>
      </c>
      <c r="L18" s="4" t="n">
        <v>1225</v>
      </c>
      <c r="M18" s="4" t="n">
        <v>1130</v>
      </c>
      <c r="N18" s="4" t="n">
        <f aca="false">L18-J18</f>
        <v>1011</v>
      </c>
      <c r="O18" s="4" t="s">
        <v>371</v>
      </c>
      <c r="P18" s="4" t="s">
        <v>389</v>
      </c>
    </row>
    <row r="19" customFormat="false" ht="15" hidden="false" customHeight="false" outlineLevel="0" collapsed="false">
      <c r="A19" s="5" t="s">
        <v>18</v>
      </c>
      <c r="B19" s="5" t="n">
        <v>171</v>
      </c>
      <c r="C19" s="5" t="n">
        <v>743</v>
      </c>
      <c r="D19" s="5" t="n">
        <f aca="false">ROUND(C19/15,2)</f>
        <v>49.53</v>
      </c>
      <c r="E19" s="5" t="n">
        <v>174</v>
      </c>
      <c r="F19" s="5" t="n">
        <f aca="false">IF(D19&lt;=0,"n/a",ROUND(E19/D19,0))</f>
        <v>4</v>
      </c>
      <c r="G19" s="5" t="n">
        <v>346</v>
      </c>
      <c r="H19" s="5" t="n">
        <v>229</v>
      </c>
      <c r="I19" s="5" t="n">
        <v>88</v>
      </c>
      <c r="J19" s="5" t="n">
        <f aca="false">E19+G19+H19</f>
        <v>749</v>
      </c>
      <c r="K19" s="5" t="n">
        <f aca="false">IF(D19&lt;=0,"n/a",ROUND(J19/D19,0))</f>
        <v>15</v>
      </c>
      <c r="L19" s="5" t="n">
        <v>750</v>
      </c>
      <c r="M19" s="5" t="n">
        <v>457</v>
      </c>
      <c r="N19" s="5" t="n">
        <f aca="false">L19-J19</f>
        <v>1</v>
      </c>
      <c r="O19" s="5" t="s">
        <v>374</v>
      </c>
      <c r="P19" s="5" t="s">
        <v>390</v>
      </c>
    </row>
    <row r="20" customFormat="false" ht="15" hidden="false" customHeight="false" outlineLevel="0" collapsed="false">
      <c r="A20" s="4" t="s">
        <v>39</v>
      </c>
      <c r="B20" s="4" t="n">
        <v>183</v>
      </c>
      <c r="C20" s="4" t="n">
        <v>361.7</v>
      </c>
      <c r="D20" s="4" t="n">
        <f aca="false">ROUND(C20/15,2)</f>
        <v>24.11</v>
      </c>
      <c r="E20" s="4" t="n">
        <v>531</v>
      </c>
      <c r="F20" s="4" t="n">
        <f aca="false">IF(D20&lt;=0,"n/a",ROUND(E20/D20,0))</f>
        <v>22</v>
      </c>
      <c r="G20" s="4" t="n">
        <v>420</v>
      </c>
      <c r="H20" s="4" t="n">
        <v>243</v>
      </c>
      <c r="I20" s="4" t="n">
        <v>36</v>
      </c>
      <c r="J20" s="4" t="n">
        <f aca="false">E20+G20+H20</f>
        <v>1194</v>
      </c>
      <c r="K20" s="4" t="n">
        <f aca="false">IF(D20&lt;=0,"n/a",ROUND(J20/D20,0))</f>
        <v>50</v>
      </c>
      <c r="L20" s="4" t="n">
        <v>7246</v>
      </c>
      <c r="M20" s="4" t="n">
        <v>7063</v>
      </c>
      <c r="N20" s="4" t="n">
        <f aca="false">L20-J20</f>
        <v>6052</v>
      </c>
      <c r="O20" s="4" t="s">
        <v>371</v>
      </c>
      <c r="P20" s="4" t="s">
        <v>391</v>
      </c>
    </row>
    <row r="21" customFormat="false" ht="15" hidden="false" customHeight="false" outlineLevel="0" collapsed="false">
      <c r="A21" s="4" t="s">
        <v>70</v>
      </c>
      <c r="B21" s="4" t="n">
        <v>382</v>
      </c>
      <c r="C21" s="4" t="n">
        <v>438.6</v>
      </c>
      <c r="D21" s="4" t="n">
        <f aca="false">ROUND(C21/15,2)</f>
        <v>29.24</v>
      </c>
      <c r="E21" s="4" t="n">
        <v>696</v>
      </c>
      <c r="F21" s="4" t="n">
        <f aca="false">IF(D21&lt;=0,"n/a",ROUND(E21/D21,0))</f>
        <v>24</v>
      </c>
      <c r="G21" s="4" t="n">
        <v>360</v>
      </c>
      <c r="H21" s="4" t="n">
        <v>292</v>
      </c>
      <c r="I21" s="4" t="n">
        <v>21</v>
      </c>
      <c r="J21" s="4" t="n">
        <f aca="false">E21+G21+H21</f>
        <v>1348</v>
      </c>
      <c r="K21" s="4" t="n">
        <f aca="false">IF(D21&lt;=0,"n/a",ROUND(J21/D21,0))</f>
        <v>46</v>
      </c>
      <c r="L21" s="4" t="n">
        <v>16880</v>
      </c>
      <c r="M21" s="4" t="n">
        <v>16523</v>
      </c>
      <c r="N21" s="4" t="n">
        <f aca="false">L21-J21</f>
        <v>15532</v>
      </c>
      <c r="O21" s="4" t="s">
        <v>371</v>
      </c>
      <c r="P21" s="4" t="s">
        <v>392</v>
      </c>
    </row>
    <row r="22" customFormat="false" ht="15" hidden="false" customHeight="false" outlineLevel="0" collapsed="false">
      <c r="A22" s="5" t="s">
        <v>40</v>
      </c>
      <c r="B22" s="5" t="n">
        <v>276</v>
      </c>
      <c r="C22" s="5" t="n">
        <v>425.8</v>
      </c>
      <c r="D22" s="5" t="n">
        <f aca="false">ROUND(C22/15,2)</f>
        <v>28.39</v>
      </c>
      <c r="E22" s="5" t="n">
        <v>385</v>
      </c>
      <c r="F22" s="5" t="n">
        <f aca="false">IF(D22&lt;=0,"n/a",ROUND(E22/D22,0))</f>
        <v>14</v>
      </c>
      <c r="G22" s="5" t="n">
        <v>219</v>
      </c>
      <c r="H22" s="5" t="n">
        <v>146</v>
      </c>
      <c r="I22" s="5" t="n">
        <v>38</v>
      </c>
      <c r="J22" s="5" t="n">
        <f aca="false">E22+G22+H22</f>
        <v>750</v>
      </c>
      <c r="K22" s="5" t="n">
        <f aca="false">IF(D22&lt;=0,"n/a",ROUND(J22/D22,0))</f>
        <v>26</v>
      </c>
      <c r="L22" s="5" t="n">
        <v>750</v>
      </c>
      <c r="M22" s="5" t="n">
        <v>565</v>
      </c>
      <c r="N22" s="5" t="n">
        <f aca="false">L22-J22</f>
        <v>0</v>
      </c>
      <c r="O22" s="5" t="s">
        <v>374</v>
      </c>
      <c r="P22" s="5" t="s">
        <v>393</v>
      </c>
    </row>
    <row r="23" customFormat="false" ht="15" hidden="false" customHeight="false" outlineLevel="0" collapsed="false">
      <c r="A23" s="5" t="s">
        <v>394</v>
      </c>
      <c r="B23" s="5" t="n">
        <v>287</v>
      </c>
      <c r="C23" s="5" t="n">
        <v>372.1</v>
      </c>
      <c r="D23" s="5" t="n">
        <f aca="false">ROUND(C23/15,2)</f>
        <v>24.81</v>
      </c>
      <c r="E23" s="5" t="n">
        <v>469</v>
      </c>
      <c r="F23" s="5" t="n">
        <f aca="false">IF(D23&lt;=0,"n/a",ROUND(E23/D23,0))</f>
        <v>19</v>
      </c>
      <c r="G23" s="5" t="n">
        <v>296</v>
      </c>
      <c r="H23" s="5" t="n">
        <v>0</v>
      </c>
      <c r="I23" s="5" t="n">
        <v>0</v>
      </c>
      <c r="J23" s="5" t="n">
        <f aca="false">E23+G23+H23</f>
        <v>765</v>
      </c>
      <c r="K23" s="5" t="n">
        <f aca="false">IF(D23&lt;=0,"n/a",ROUND(J23/D23,0))</f>
        <v>31</v>
      </c>
      <c r="L23" s="5" t="n">
        <v>750</v>
      </c>
      <c r="M23" s="5" t="n">
        <v>571</v>
      </c>
      <c r="N23" s="5" t="n">
        <f aca="false">L23-J23</f>
        <v>-15</v>
      </c>
      <c r="O23" s="5" t="s">
        <v>374</v>
      </c>
      <c r="P23" s="5" t="s">
        <v>388</v>
      </c>
    </row>
    <row r="24" customFormat="false" ht="15" hidden="false" customHeight="false" outlineLevel="0" collapsed="false">
      <c r="A24" s="3" t="s">
        <v>15</v>
      </c>
      <c r="B24" s="3" t="n">
        <v>0</v>
      </c>
      <c r="C24" s="3" t="n">
        <v>0</v>
      </c>
      <c r="D24" s="3" t="n">
        <f aca="false">ROUND(C24/15,2)</f>
        <v>0</v>
      </c>
      <c r="E24" s="3" t="n">
        <v>2</v>
      </c>
      <c r="F24" s="3" t="str">
        <f aca="false">IF(D24&lt;=0,"n/a",ROUND(E24/D24,0))</f>
        <v>n/a</v>
      </c>
      <c r="G24" s="3" t="n">
        <v>2907</v>
      </c>
      <c r="H24" s="3" t="n">
        <v>1042</v>
      </c>
      <c r="I24" s="3" t="n">
        <v>64</v>
      </c>
      <c r="J24" s="3" t="n">
        <f aca="false">E24+G24+H24</f>
        <v>3951</v>
      </c>
      <c r="K24" s="3" t="str">
        <f aca="false">IF(D24&lt;=0,"n/a",ROUND(J24/D24,0))</f>
        <v>n/a</v>
      </c>
      <c r="L24" s="3" t="n">
        <v>5000</v>
      </c>
      <c r="M24" s="3" t="n">
        <v>4919</v>
      </c>
      <c r="N24" s="3" t="n">
        <f aca="false">L24-J24</f>
        <v>1049</v>
      </c>
      <c r="O24" s="3" t="s">
        <v>395</v>
      </c>
      <c r="P24" s="3" t="s">
        <v>396</v>
      </c>
    </row>
    <row r="25" customFormat="false" ht="15" hidden="false" customHeight="false" outlineLevel="0" collapsed="false">
      <c r="A25" s="3" t="s">
        <v>33</v>
      </c>
      <c r="B25" s="3" t="n">
        <v>0</v>
      </c>
      <c r="C25" s="3" t="n">
        <v>0</v>
      </c>
      <c r="D25" s="3" t="n">
        <f aca="false">ROUND(C25/15,2)</f>
        <v>0</v>
      </c>
      <c r="E25" s="3" t="n">
        <v>55</v>
      </c>
      <c r="F25" s="3" t="str">
        <f aca="false">IF(D25&lt;=0,"n/a",ROUND(E25/D25,0))</f>
        <v>n/a</v>
      </c>
      <c r="G25" s="3" t="n">
        <v>1700</v>
      </c>
      <c r="H25" s="3" t="n">
        <v>438</v>
      </c>
      <c r="I25" s="3" t="n">
        <v>45</v>
      </c>
      <c r="J25" s="3" t="n">
        <f aca="false">E25+G25+H25</f>
        <v>2193</v>
      </c>
      <c r="K25" s="3" t="str">
        <f aca="false">IF(D25&lt;=0,"n/a",ROUND(J25/D25,0))</f>
        <v>n/a</v>
      </c>
      <c r="L25" s="3" t="n">
        <v>5000</v>
      </c>
      <c r="M25" s="3" t="n">
        <v>2614</v>
      </c>
      <c r="N25" s="3" t="n">
        <f aca="false">L25-J25</f>
        <v>2807</v>
      </c>
      <c r="O25" s="3" t="s">
        <v>395</v>
      </c>
      <c r="P25" s="3" t="s">
        <v>397</v>
      </c>
    </row>
  </sheetData>
  <autoFilter ref="A2:P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4"/>
    <col collapsed="false" customWidth="true" hidden="false" outlineLevel="0" max="4" min="4" style="0" width="15"/>
    <col collapsed="false" customWidth="true" hidden="false" outlineLevel="0" max="5" min="5" style="0" width="13"/>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3"/>
    <col collapsed="false" customWidth="true" hidden="false" outlineLevel="0" max="10" min="10" style="0" width="18"/>
    <col collapsed="false" customWidth="true" hidden="false" outlineLevel="0" max="11" min="11" style="0" width="17"/>
    <col collapsed="false" customWidth="true" hidden="false" outlineLevel="0" max="12" min="12" style="0" width="10"/>
    <col collapsed="false" customWidth="true" hidden="false" outlineLevel="0" max="13" min="13" style="0" width="21"/>
    <col collapsed="false" customWidth="true" hidden="false" outlineLevel="0" max="14" min="14" style="0" width="25"/>
    <col collapsed="false" customWidth="true" hidden="false" outlineLevel="0" max="15" min="15" style="0" width="22"/>
    <col collapsed="false" customWidth="true" hidden="false" outlineLevel="0" max="16" min="16" style="0" width="16"/>
    <col collapsed="false" customWidth="true" hidden="false" outlineLevel="0" max="17" min="17" style="0" width="20"/>
  </cols>
  <sheetData>
    <row r="1" customFormat="false" ht="15" hidden="false" customHeight="false" outlineLevel="0" collapsed="false">
      <c r="A1" s="1" t="s">
        <v>0</v>
      </c>
      <c r="B1" s="1" t="n">
        <f aca="false">SUM(B3:B25)</f>
        <v>70112</v>
      </c>
      <c r="C1" s="1" t="n">
        <f aca="false">SUM(C3:C25)</f>
        <v>61485</v>
      </c>
      <c r="D1" s="1" t="n">
        <f aca="false">SUM(D3:D25)</f>
        <v>5849.3</v>
      </c>
      <c r="E1" s="1" t="n">
        <f aca="false">SUM(E3:E25)</f>
        <v>7571</v>
      </c>
      <c r="F1" s="1" t="n">
        <f aca="false">SUM(F3:F25)</f>
        <v>11274</v>
      </c>
      <c r="G1" s="1" t="n">
        <f aca="false">SUM(G3:G25)</f>
        <v>3744</v>
      </c>
      <c r="H1" s="1" t="n">
        <f aca="false">SUM(H3:H25)</f>
        <v>22589</v>
      </c>
      <c r="I1" s="1"/>
      <c r="J1" s="1"/>
      <c r="K1" s="1"/>
      <c r="L1" s="1"/>
      <c r="M1" s="1" t="n">
        <f aca="false">SUM(M3:M25)</f>
        <v>1481</v>
      </c>
      <c r="N1" s="1" t="n">
        <f aca="false">SUM(N3:N25)</f>
        <v>24070</v>
      </c>
      <c r="O1" s="1" t="n">
        <f aca="false">SUM(O3:O25)</f>
        <v>1596</v>
      </c>
      <c r="P1" s="1"/>
      <c r="Q1" s="1"/>
    </row>
    <row r="2" customFormat="false" ht="15" hidden="false" customHeight="false" outlineLevel="0" collapsed="false">
      <c r="A2" s="2" t="s">
        <v>357</v>
      </c>
      <c r="B2" s="2" t="s">
        <v>366</v>
      </c>
      <c r="C2" s="2" t="s">
        <v>367</v>
      </c>
      <c r="D2" s="2" t="s">
        <v>359</v>
      </c>
      <c r="E2" s="2" t="s">
        <v>398</v>
      </c>
      <c r="F2" s="2" t="s">
        <v>399</v>
      </c>
      <c r="G2" s="2" t="s">
        <v>400</v>
      </c>
      <c r="H2" s="2" t="s">
        <v>401</v>
      </c>
      <c r="I2" s="2" t="s">
        <v>402</v>
      </c>
      <c r="J2" s="2" t="s">
        <v>403</v>
      </c>
      <c r="K2" s="2" t="s">
        <v>404</v>
      </c>
      <c r="L2" s="2" t="s">
        <v>405</v>
      </c>
      <c r="M2" s="2" t="s">
        <v>406</v>
      </c>
      <c r="N2" s="2" t="s">
        <v>407</v>
      </c>
      <c r="O2" s="2" t="s">
        <v>408</v>
      </c>
      <c r="P2" s="2" t="s">
        <v>11</v>
      </c>
      <c r="Q2" s="2" t="s">
        <v>409</v>
      </c>
    </row>
    <row r="3" customFormat="false" ht="15" hidden="false" customHeight="false" outlineLevel="0" collapsed="false">
      <c r="A3" s="4" t="s">
        <v>82</v>
      </c>
      <c r="B3" s="4" t="n">
        <v>16152</v>
      </c>
      <c r="C3" s="4" t="n">
        <v>15962</v>
      </c>
      <c r="D3" s="4" t="n">
        <v>194.4</v>
      </c>
      <c r="E3" s="4" t="n">
        <v>352</v>
      </c>
      <c r="F3" s="4" t="n">
        <v>624</v>
      </c>
      <c r="G3" s="4" t="n">
        <v>68</v>
      </c>
      <c r="H3" s="4" t="n">
        <f aca="false">E3+F3+G3</f>
        <v>1044</v>
      </c>
      <c r="I3" s="6" t="n">
        <f aca="false">ROUND(H3/B3,3)</f>
        <v>0.065</v>
      </c>
      <c r="J3" s="6" t="n">
        <f aca="false">ROUND(G3/C3,3)</f>
        <v>0.004</v>
      </c>
      <c r="K3" s="4" t="s">
        <v>410</v>
      </c>
      <c r="L3" s="4" t="s">
        <v>371</v>
      </c>
      <c r="M3" s="4" t="n">
        <v>0</v>
      </c>
      <c r="N3" s="4" t="n">
        <f aca="false">E3+F3+G3+M3</f>
        <v>1044</v>
      </c>
      <c r="O3" s="4" t="n">
        <f aca="false">MAX(0,N3-B3)</f>
        <v>0</v>
      </c>
      <c r="P3" s="4" t="n">
        <f aca="false">ROUND(H3/12.957,0)</f>
        <v>81</v>
      </c>
      <c r="Q3" s="4" t="n">
        <f aca="false">ROUND(N3/12.957,0)</f>
        <v>81</v>
      </c>
    </row>
    <row r="4" customFormat="false" ht="15" hidden="false" customHeight="false" outlineLevel="0" collapsed="false">
      <c r="A4" s="4" t="s">
        <v>29</v>
      </c>
      <c r="B4" s="4" t="n">
        <v>750</v>
      </c>
      <c r="C4" s="4" t="n">
        <v>595</v>
      </c>
      <c r="D4" s="4" t="n">
        <v>53.6</v>
      </c>
      <c r="E4" s="4" t="n">
        <v>162</v>
      </c>
      <c r="F4" s="4" t="n">
        <v>393</v>
      </c>
      <c r="G4" s="4" t="n">
        <v>18</v>
      </c>
      <c r="H4" s="4" t="n">
        <f aca="false">E4+F4+G4</f>
        <v>573</v>
      </c>
      <c r="I4" s="6" t="n">
        <f aca="false">ROUND(H4/B4,3)</f>
        <v>0.764</v>
      </c>
      <c r="J4" s="6" t="n">
        <f aca="false">ROUND(G4/C4,3)</f>
        <v>0.03</v>
      </c>
      <c r="K4" s="4" t="s">
        <v>410</v>
      </c>
      <c r="L4" s="4" t="s">
        <v>371</v>
      </c>
      <c r="M4" s="4" t="n">
        <v>0</v>
      </c>
      <c r="N4" s="4" t="n">
        <f aca="false">E4+F4+G4+M4</f>
        <v>573</v>
      </c>
      <c r="O4" s="4" t="n">
        <f aca="false">MAX(0,N4-B4)</f>
        <v>0</v>
      </c>
      <c r="P4" s="4" t="n">
        <f aca="false">ROUND(H4/3.5727,0)</f>
        <v>160</v>
      </c>
      <c r="Q4" s="4" t="n">
        <f aca="false">ROUND(N4/3.5727,0)</f>
        <v>160</v>
      </c>
    </row>
    <row r="5" customFormat="false" ht="15" hidden="false" customHeight="false" outlineLevel="0" collapsed="false">
      <c r="A5" s="5" t="s">
        <v>74</v>
      </c>
      <c r="B5" s="5" t="n">
        <v>750</v>
      </c>
      <c r="C5" s="5" t="n">
        <v>296</v>
      </c>
      <c r="D5" s="5" t="n">
        <v>275.8</v>
      </c>
      <c r="E5" s="5" t="n">
        <v>443</v>
      </c>
      <c r="F5" s="5" t="n">
        <v>220</v>
      </c>
      <c r="G5" s="5" t="n">
        <v>86</v>
      </c>
      <c r="H5" s="5" t="n">
        <f aca="false">E5+F5+G5</f>
        <v>749</v>
      </c>
      <c r="I5" s="7" t="n">
        <f aca="false">ROUND(H5/B5,3)</f>
        <v>0.999</v>
      </c>
      <c r="J5" s="7" t="n">
        <f aca="false">ROUND(G5/C5,3)</f>
        <v>0.291</v>
      </c>
      <c r="K5" s="5" t="s">
        <v>410</v>
      </c>
      <c r="L5" s="5" t="s">
        <v>374</v>
      </c>
      <c r="M5" s="5" t="n">
        <v>125</v>
      </c>
      <c r="N5" s="5" t="n">
        <f aca="false">E5+F5+G5+M5</f>
        <v>874</v>
      </c>
      <c r="O5" s="5" t="n">
        <f aca="false">MAX(0,N5-B5)</f>
        <v>124</v>
      </c>
      <c r="P5" s="5" t="n">
        <f aca="false">ROUND(H5/18.3855,0)</f>
        <v>41</v>
      </c>
      <c r="Q5" s="5" t="n">
        <f aca="false">ROUND(N5/18.3855,0)</f>
        <v>48</v>
      </c>
    </row>
    <row r="6" customFormat="false" ht="15" hidden="false" customHeight="false" outlineLevel="0" collapsed="false">
      <c r="A6" s="5" t="s">
        <v>30</v>
      </c>
      <c r="B6" s="5" t="n">
        <v>1458</v>
      </c>
      <c r="C6" s="5" t="n">
        <v>1011</v>
      </c>
      <c r="D6" s="5" t="n">
        <v>490.3</v>
      </c>
      <c r="E6" s="5" t="n">
        <v>476</v>
      </c>
      <c r="F6" s="5" t="n">
        <v>765</v>
      </c>
      <c r="G6" s="5" t="n">
        <v>217</v>
      </c>
      <c r="H6" s="5" t="n">
        <f aca="false">E6+F6+G6</f>
        <v>1458</v>
      </c>
      <c r="I6" s="7" t="n">
        <f aca="false">ROUND(H6/B6,3)</f>
        <v>1</v>
      </c>
      <c r="J6" s="7" t="n">
        <f aca="false">ROUND(G6/C6,3)</f>
        <v>0.215</v>
      </c>
      <c r="K6" s="5" t="s">
        <v>410</v>
      </c>
      <c r="L6" s="5" t="s">
        <v>374</v>
      </c>
      <c r="M6" s="5" t="n">
        <v>105</v>
      </c>
      <c r="N6" s="5" t="n">
        <f aca="false">E6+F6+G6+M6</f>
        <v>1563</v>
      </c>
      <c r="O6" s="5" t="n">
        <f aca="false">MAX(0,N6-B6)</f>
        <v>105</v>
      </c>
      <c r="P6" s="5" t="n">
        <f aca="false">ROUND(H6/32.6872,0)</f>
        <v>45</v>
      </c>
      <c r="Q6" s="5" t="n">
        <f aca="false">ROUND(N6/32.6872,0)</f>
        <v>48</v>
      </c>
    </row>
    <row r="7" customFormat="false" ht="15" hidden="false" customHeight="false" outlineLevel="0" collapsed="false">
      <c r="A7" s="5" t="s">
        <v>182</v>
      </c>
      <c r="B7" s="5" t="n">
        <v>750</v>
      </c>
      <c r="C7" s="5" t="n">
        <v>428</v>
      </c>
      <c r="D7" s="5" t="n">
        <v>173.2</v>
      </c>
      <c r="E7" s="5" t="n">
        <v>377</v>
      </c>
      <c r="F7" s="5" t="n">
        <v>352</v>
      </c>
      <c r="G7" s="5" t="n">
        <v>20</v>
      </c>
      <c r="H7" s="5" t="n">
        <f aca="false">E7+F7+G7</f>
        <v>749</v>
      </c>
      <c r="I7" s="7" t="n">
        <f aca="false">ROUND(H7/B7,3)</f>
        <v>0.999</v>
      </c>
      <c r="J7" s="7" t="n">
        <f aca="false">ROUND(G7/C7,3)</f>
        <v>0.047</v>
      </c>
      <c r="K7" s="5" t="s">
        <v>410</v>
      </c>
      <c r="L7" s="5" t="s">
        <v>374</v>
      </c>
      <c r="M7" s="5" t="n">
        <v>73</v>
      </c>
      <c r="N7" s="5" t="n">
        <f aca="false">E7+F7+G7+M7</f>
        <v>822</v>
      </c>
      <c r="O7" s="5" t="n">
        <f aca="false">MAX(0,N7-B7)</f>
        <v>72</v>
      </c>
      <c r="P7" s="5" t="n">
        <f aca="false">ROUND(H7/11.5457,0)</f>
        <v>65</v>
      </c>
      <c r="Q7" s="5" t="n">
        <f aca="false">ROUND(N7/11.5457,0)</f>
        <v>71</v>
      </c>
    </row>
    <row r="8" customFormat="false" ht="15" hidden="false" customHeight="false" outlineLevel="0" collapsed="false">
      <c r="A8" s="5" t="s">
        <v>31</v>
      </c>
      <c r="B8" s="5" t="n">
        <v>750</v>
      </c>
      <c r="C8" s="5" t="n">
        <v>470</v>
      </c>
      <c r="D8" s="5" t="n">
        <v>383.6</v>
      </c>
      <c r="E8" s="5" t="n">
        <v>254</v>
      </c>
      <c r="F8" s="5" t="n">
        <v>432</v>
      </c>
      <c r="G8" s="5" t="n">
        <v>64</v>
      </c>
      <c r="H8" s="5" t="n">
        <f aca="false">E8+F8+G8</f>
        <v>750</v>
      </c>
      <c r="I8" s="7" t="n">
        <f aca="false">ROUND(H8/B8,3)</f>
        <v>1</v>
      </c>
      <c r="J8" s="7" t="n">
        <f aca="false">ROUND(G8/C8,3)</f>
        <v>0.136</v>
      </c>
      <c r="K8" s="5" t="s">
        <v>410</v>
      </c>
      <c r="L8" s="5" t="s">
        <v>374</v>
      </c>
      <c r="M8" s="5" t="n">
        <v>186</v>
      </c>
      <c r="N8" s="5" t="n">
        <f aca="false">E8+F8+G8+M8</f>
        <v>936</v>
      </c>
      <c r="O8" s="5" t="n">
        <f aca="false">MAX(0,N8-B8)</f>
        <v>186</v>
      </c>
      <c r="P8" s="5" t="n">
        <f aca="false">ROUND(H8/25.5702,0)</f>
        <v>29</v>
      </c>
      <c r="Q8" s="5" t="n">
        <f aca="false">ROUND(N8/25.5702,0)</f>
        <v>37</v>
      </c>
    </row>
    <row r="9" customFormat="false" ht="15" hidden="false" customHeight="false" outlineLevel="0" collapsed="false">
      <c r="A9" s="4" t="s">
        <v>75</v>
      </c>
      <c r="B9" s="4" t="n">
        <v>750</v>
      </c>
      <c r="C9" s="4" t="n">
        <v>271</v>
      </c>
      <c r="D9" s="4" t="n">
        <v>125</v>
      </c>
      <c r="E9" s="4" t="n">
        <v>212</v>
      </c>
      <c r="F9" s="4" t="n">
        <v>97</v>
      </c>
      <c r="G9" s="4" t="n">
        <v>50</v>
      </c>
      <c r="H9" s="4" t="n">
        <f aca="false">E9+F9+G9</f>
        <v>359</v>
      </c>
      <c r="I9" s="6" t="n">
        <f aca="false">ROUND(H9/B9,3)</f>
        <v>0.479</v>
      </c>
      <c r="J9" s="6" t="n">
        <f aca="false">ROUND(G9/C9,3)</f>
        <v>0.185</v>
      </c>
      <c r="K9" s="4" t="s">
        <v>411</v>
      </c>
      <c r="L9" s="4" t="s">
        <v>371</v>
      </c>
      <c r="M9" s="4" t="n">
        <v>0</v>
      </c>
      <c r="N9" s="4" t="n">
        <f aca="false">E9+F9+G9+M9</f>
        <v>359</v>
      </c>
      <c r="O9" s="4" t="n">
        <f aca="false">MAX(0,N9-B9)</f>
        <v>0</v>
      </c>
      <c r="P9" s="4" t="n">
        <f aca="false">ROUND(H9/8.3306,0)</f>
        <v>43</v>
      </c>
      <c r="Q9" s="4" t="n">
        <f aca="false">ROUND(N9/8.3306,0)</f>
        <v>43</v>
      </c>
    </row>
    <row r="10" customFormat="false" ht="15" hidden="false" customHeight="false" outlineLevel="0" collapsed="false">
      <c r="A10" s="4" t="s">
        <v>76</v>
      </c>
      <c r="B10" s="4" t="n">
        <v>2618</v>
      </c>
      <c r="C10" s="4" t="n">
        <v>2267</v>
      </c>
      <c r="D10" s="4" t="n">
        <v>261.1</v>
      </c>
      <c r="E10" s="4" t="n">
        <v>399</v>
      </c>
      <c r="F10" s="4" t="n">
        <v>388</v>
      </c>
      <c r="G10" s="4" t="n">
        <v>143</v>
      </c>
      <c r="H10" s="4" t="n">
        <f aca="false">E10+F10+G10</f>
        <v>930</v>
      </c>
      <c r="I10" s="6" t="n">
        <f aca="false">ROUND(H10/B10,3)</f>
        <v>0.355</v>
      </c>
      <c r="J10" s="6" t="n">
        <f aca="false">ROUND(G10/C10,3)</f>
        <v>0.063</v>
      </c>
      <c r="K10" s="4" t="s">
        <v>410</v>
      </c>
      <c r="L10" s="4" t="s">
        <v>371</v>
      </c>
      <c r="M10" s="4" t="n">
        <v>0</v>
      </c>
      <c r="N10" s="4" t="n">
        <f aca="false">E10+F10+G10+M10</f>
        <v>930</v>
      </c>
      <c r="O10" s="4" t="n">
        <f aca="false">MAX(0,N10-B10)</f>
        <v>0</v>
      </c>
      <c r="P10" s="4" t="n">
        <f aca="false">ROUND(H10/17.4091,0)</f>
        <v>53</v>
      </c>
      <c r="Q10" s="4" t="n">
        <f aca="false">ROUND(N10/17.4091,0)</f>
        <v>53</v>
      </c>
    </row>
    <row r="11" customFormat="false" ht="15" hidden="false" customHeight="false" outlineLevel="0" collapsed="false">
      <c r="A11" s="5" t="s">
        <v>32</v>
      </c>
      <c r="B11" s="5" t="n">
        <v>750</v>
      </c>
      <c r="C11" s="5" t="n">
        <v>123</v>
      </c>
      <c r="D11" s="5" t="n">
        <v>242.7</v>
      </c>
      <c r="E11" s="5" t="n">
        <v>212</v>
      </c>
      <c r="F11" s="5" t="n">
        <v>3</v>
      </c>
      <c r="G11" s="5" t="n">
        <v>123</v>
      </c>
      <c r="H11" s="5" t="n">
        <f aca="false">E11+F11+G11</f>
        <v>338</v>
      </c>
      <c r="I11" s="7" t="n">
        <f aca="false">ROUND(H11/B11,3)</f>
        <v>0.451</v>
      </c>
      <c r="J11" s="7" t="n">
        <f aca="false">ROUND(G11/C11,3)</f>
        <v>1</v>
      </c>
      <c r="K11" s="5" t="s">
        <v>411</v>
      </c>
      <c r="L11" s="5" t="s">
        <v>374</v>
      </c>
      <c r="M11" s="5" t="n">
        <v>36</v>
      </c>
      <c r="N11" s="5" t="n">
        <f aca="false">E11+F11+G11+M11</f>
        <v>374</v>
      </c>
      <c r="O11" s="5" t="n">
        <f aca="false">MAX(0,N11-B11)</f>
        <v>0</v>
      </c>
      <c r="P11" s="5" t="n">
        <f aca="false">ROUND(H11/16.1795,0)</f>
        <v>21</v>
      </c>
      <c r="Q11" s="5" t="n">
        <f aca="false">ROUND(N11/16.1795,0)</f>
        <v>23</v>
      </c>
    </row>
    <row r="12" customFormat="false" ht="15" hidden="false" customHeight="false" outlineLevel="0" collapsed="false">
      <c r="A12" s="4" t="s">
        <v>77</v>
      </c>
      <c r="B12" s="4" t="n">
        <v>750</v>
      </c>
      <c r="C12" s="4" t="n">
        <v>291</v>
      </c>
      <c r="D12" s="4" t="n">
        <v>103.2</v>
      </c>
      <c r="E12" s="4" t="n">
        <v>186</v>
      </c>
      <c r="F12" s="4" t="n">
        <v>499</v>
      </c>
      <c r="G12" s="4" t="n">
        <v>58</v>
      </c>
      <c r="H12" s="4" t="n">
        <f aca="false">E12+F12+G12</f>
        <v>743</v>
      </c>
      <c r="I12" s="6" t="n">
        <f aca="false">ROUND(H12/B12,3)</f>
        <v>0.991</v>
      </c>
      <c r="J12" s="6" t="n">
        <f aca="false">ROUND(G12/C12,3)</f>
        <v>0.199</v>
      </c>
      <c r="K12" s="4" t="s">
        <v>410</v>
      </c>
      <c r="L12" s="4" t="s">
        <v>371</v>
      </c>
      <c r="M12" s="4" t="n">
        <v>0</v>
      </c>
      <c r="N12" s="4" t="n">
        <f aca="false">E12+F12+G12+M12</f>
        <v>743</v>
      </c>
      <c r="O12" s="4" t="n">
        <f aca="false">MAX(0,N12-B12)</f>
        <v>0</v>
      </c>
      <c r="P12" s="4" t="n">
        <f aca="false">ROUND(H12/6.8812,0)</f>
        <v>108</v>
      </c>
      <c r="Q12" s="4" t="n">
        <f aca="false">ROUND(N12/6.8812,0)</f>
        <v>108</v>
      </c>
    </row>
    <row r="13" customFormat="false" ht="15" hidden="false" customHeight="false" outlineLevel="0" collapsed="false">
      <c r="A13" s="4" t="s">
        <v>66</v>
      </c>
      <c r="B13" s="4" t="n">
        <v>750</v>
      </c>
      <c r="C13" s="4" t="n">
        <v>498</v>
      </c>
      <c r="D13" s="4" t="n">
        <v>176.7</v>
      </c>
      <c r="E13" s="4" t="n">
        <v>542</v>
      </c>
      <c r="F13" s="4" t="n">
        <v>71</v>
      </c>
      <c r="G13" s="4" t="n">
        <v>86</v>
      </c>
      <c r="H13" s="4" t="n">
        <f aca="false">E13+F13+G13</f>
        <v>699</v>
      </c>
      <c r="I13" s="6" t="n">
        <f aca="false">ROUND(H13/B13,3)</f>
        <v>0.932</v>
      </c>
      <c r="J13" s="6" t="n">
        <f aca="false">ROUND(G13/C13,3)</f>
        <v>0.173</v>
      </c>
      <c r="K13" s="4" t="s">
        <v>410</v>
      </c>
      <c r="L13" s="4" t="s">
        <v>371</v>
      </c>
      <c r="M13" s="4" t="n">
        <v>0</v>
      </c>
      <c r="N13" s="4" t="n">
        <f aca="false">E13+F13+G13+M13</f>
        <v>699</v>
      </c>
      <c r="O13" s="4" t="n">
        <f aca="false">MAX(0,N13-B13)</f>
        <v>0</v>
      </c>
      <c r="P13" s="4" t="n">
        <f aca="false">ROUND(H13/11.7827,0)</f>
        <v>59</v>
      </c>
      <c r="Q13" s="4" t="n">
        <f aca="false">ROUND(N13/11.7827,0)</f>
        <v>59</v>
      </c>
    </row>
    <row r="14" customFormat="false" ht="15" hidden="false" customHeight="false" outlineLevel="0" collapsed="false">
      <c r="A14" s="4" t="s">
        <v>34</v>
      </c>
      <c r="B14" s="4" t="n">
        <v>750</v>
      </c>
      <c r="C14" s="4" t="n">
        <v>593</v>
      </c>
      <c r="D14" s="4" t="n">
        <v>174.6</v>
      </c>
      <c r="E14" s="4" t="n">
        <v>489</v>
      </c>
      <c r="F14" s="4" t="n">
        <v>129</v>
      </c>
      <c r="G14" s="4" t="n">
        <v>92</v>
      </c>
      <c r="H14" s="4" t="n">
        <f aca="false">E14+F14+G14</f>
        <v>710</v>
      </c>
      <c r="I14" s="6" t="n">
        <f aca="false">ROUND(H14/B14,3)</f>
        <v>0.947</v>
      </c>
      <c r="J14" s="6" t="n">
        <f aca="false">ROUND(G14/C14,3)</f>
        <v>0.155</v>
      </c>
      <c r="K14" s="4" t="s">
        <v>410</v>
      </c>
      <c r="L14" s="4" t="s">
        <v>371</v>
      </c>
      <c r="M14" s="4" t="n">
        <v>0</v>
      </c>
      <c r="N14" s="4" t="n">
        <f aca="false">E14+F14+G14+M14</f>
        <v>710</v>
      </c>
      <c r="O14" s="4" t="n">
        <f aca="false">MAX(0,N14-B14)</f>
        <v>0</v>
      </c>
      <c r="P14" s="4" t="n">
        <f aca="false">ROUND(H14/11.639,0)</f>
        <v>61</v>
      </c>
      <c r="Q14" s="4" t="n">
        <f aca="false">ROUND(N14/11.639,0)</f>
        <v>61</v>
      </c>
    </row>
    <row r="15" customFormat="false" ht="15" hidden="false" customHeight="false" outlineLevel="0" collapsed="false">
      <c r="A15" s="4" t="s">
        <v>53</v>
      </c>
      <c r="B15" s="4" t="n">
        <v>3897</v>
      </c>
      <c r="C15" s="4" t="n">
        <v>3687</v>
      </c>
      <c r="D15" s="4" t="n">
        <v>290.7</v>
      </c>
      <c r="E15" s="4" t="n">
        <v>267</v>
      </c>
      <c r="F15" s="4" t="n">
        <v>386</v>
      </c>
      <c r="G15" s="4" t="n">
        <v>183</v>
      </c>
      <c r="H15" s="4" t="n">
        <f aca="false">E15+F15+G15</f>
        <v>836</v>
      </c>
      <c r="I15" s="6" t="n">
        <f aca="false">ROUND(H15/B15,3)</f>
        <v>0.215</v>
      </c>
      <c r="J15" s="6" t="n">
        <f aca="false">ROUND(G15/C15,3)</f>
        <v>0.05</v>
      </c>
      <c r="K15" s="4" t="s">
        <v>410</v>
      </c>
      <c r="L15" s="4" t="s">
        <v>371</v>
      </c>
      <c r="M15" s="4" t="n">
        <v>0</v>
      </c>
      <c r="N15" s="4" t="n">
        <f aca="false">E15+F15+G15+M15</f>
        <v>836</v>
      </c>
      <c r="O15" s="4" t="n">
        <f aca="false">MAX(0,N15-B15)</f>
        <v>0</v>
      </c>
      <c r="P15" s="4" t="n">
        <f aca="false">ROUND(H15/19.3809,0)</f>
        <v>43</v>
      </c>
      <c r="Q15" s="4" t="n">
        <f aca="false">ROUND(N15/19.3809,0)</f>
        <v>43</v>
      </c>
    </row>
    <row r="16" customFormat="false" ht="15" hidden="false" customHeight="false" outlineLevel="0" collapsed="false">
      <c r="A16" s="4" t="s">
        <v>35</v>
      </c>
      <c r="B16" s="4" t="n">
        <v>873</v>
      </c>
      <c r="C16" s="4" t="n">
        <v>545</v>
      </c>
      <c r="D16" s="4" t="n">
        <v>166.1</v>
      </c>
      <c r="E16" s="4" t="n">
        <v>303</v>
      </c>
      <c r="F16" s="4" t="n">
        <v>175</v>
      </c>
      <c r="G16" s="4" t="n">
        <v>107</v>
      </c>
      <c r="H16" s="4" t="n">
        <f aca="false">E16+F16+G16</f>
        <v>585</v>
      </c>
      <c r="I16" s="6" t="n">
        <f aca="false">ROUND(H16/B16,3)</f>
        <v>0.67</v>
      </c>
      <c r="J16" s="6" t="n">
        <f aca="false">ROUND(G16/C16,3)</f>
        <v>0.196</v>
      </c>
      <c r="K16" s="4" t="s">
        <v>410</v>
      </c>
      <c r="L16" s="4" t="s">
        <v>371</v>
      </c>
      <c r="M16" s="4" t="n">
        <v>0</v>
      </c>
      <c r="N16" s="4" t="n">
        <f aca="false">E16+F16+G16+M16</f>
        <v>585</v>
      </c>
      <c r="O16" s="4" t="n">
        <f aca="false">MAX(0,N16-B16)</f>
        <v>0</v>
      </c>
      <c r="P16" s="4" t="n">
        <f aca="false">ROUND(H16/11.074,0)</f>
        <v>53</v>
      </c>
      <c r="Q16" s="4" t="n">
        <f aca="false">ROUND(N16/11.074,0)</f>
        <v>53</v>
      </c>
    </row>
    <row r="17" customFormat="false" ht="15" hidden="false" customHeight="false" outlineLevel="0" collapsed="false">
      <c r="A17" s="5" t="s">
        <v>387</v>
      </c>
      <c r="B17" s="5" t="n">
        <v>763</v>
      </c>
      <c r="C17" s="5" t="n">
        <v>606</v>
      </c>
      <c r="D17" s="5" t="n">
        <v>287</v>
      </c>
      <c r="E17" s="5" t="n">
        <v>488</v>
      </c>
      <c r="F17" s="5" t="n">
        <v>414</v>
      </c>
      <c r="G17" s="5" t="n">
        <v>0</v>
      </c>
      <c r="H17" s="5" t="n">
        <f aca="false">E17+F17+G17</f>
        <v>902</v>
      </c>
      <c r="I17" s="7" t="n">
        <f aca="false">ROUND(H17/B17,3)</f>
        <v>1.182</v>
      </c>
      <c r="J17" s="7" t="n">
        <f aca="false">ROUND(G17/C17,3)</f>
        <v>0</v>
      </c>
      <c r="K17" s="5" t="s">
        <v>410</v>
      </c>
      <c r="L17" s="5" t="s">
        <v>374</v>
      </c>
      <c r="M17" s="5" t="n">
        <v>173</v>
      </c>
      <c r="N17" s="5" t="n">
        <f aca="false">E17+F17+G17+M17</f>
        <v>1075</v>
      </c>
      <c r="O17" s="5" t="n">
        <f aca="false">MAX(0,N17-B17)</f>
        <v>312</v>
      </c>
      <c r="P17" s="5" t="n">
        <f aca="false">ROUND(H17/19.1304,0)</f>
        <v>47</v>
      </c>
      <c r="Q17" s="5" t="n">
        <f aca="false">ROUND(N17/19.1304,0)</f>
        <v>56</v>
      </c>
    </row>
    <row r="18" customFormat="false" ht="15" hidden="false" customHeight="false" outlineLevel="0" collapsed="false">
      <c r="A18" s="4" t="s">
        <v>78</v>
      </c>
      <c r="B18" s="4" t="n">
        <v>1225</v>
      </c>
      <c r="C18" s="4" t="n">
        <v>1130</v>
      </c>
      <c r="D18" s="4" t="n">
        <v>110.1</v>
      </c>
      <c r="E18" s="4" t="n">
        <v>97</v>
      </c>
      <c r="F18" s="4" t="n">
        <v>78</v>
      </c>
      <c r="G18" s="4" t="n">
        <v>39</v>
      </c>
      <c r="H18" s="4" t="n">
        <f aca="false">E18+F18+G18</f>
        <v>214</v>
      </c>
      <c r="I18" s="6" t="n">
        <f aca="false">ROUND(H18/B18,3)</f>
        <v>0.175</v>
      </c>
      <c r="J18" s="6" t="n">
        <f aca="false">ROUND(G18/C18,3)</f>
        <v>0.035</v>
      </c>
      <c r="K18" s="4" t="s">
        <v>410</v>
      </c>
      <c r="L18" s="4" t="s">
        <v>371</v>
      </c>
      <c r="M18" s="4" t="n">
        <v>0</v>
      </c>
      <c r="N18" s="4" t="n">
        <f aca="false">E18+F18+G18+M18</f>
        <v>214</v>
      </c>
      <c r="O18" s="4" t="n">
        <f aca="false">MAX(0,N18-B18)</f>
        <v>0</v>
      </c>
      <c r="P18" s="4" t="n">
        <f aca="false">ROUND(H18/7.3376,0)</f>
        <v>29</v>
      </c>
      <c r="Q18" s="4" t="n">
        <f aca="false">ROUND(N18/7.3376,0)</f>
        <v>29</v>
      </c>
    </row>
    <row r="19" customFormat="false" ht="15" hidden="false" customHeight="false" outlineLevel="0" collapsed="false">
      <c r="A19" s="5" t="s">
        <v>18</v>
      </c>
      <c r="B19" s="5" t="n">
        <v>750</v>
      </c>
      <c r="C19" s="5" t="n">
        <v>457</v>
      </c>
      <c r="D19" s="5" t="n">
        <v>743</v>
      </c>
      <c r="E19" s="5" t="n">
        <v>174</v>
      </c>
      <c r="F19" s="5" t="n">
        <v>346</v>
      </c>
      <c r="G19" s="5" t="n">
        <v>229</v>
      </c>
      <c r="H19" s="5" t="n">
        <f aca="false">E19+F19+G19</f>
        <v>749</v>
      </c>
      <c r="I19" s="7" t="n">
        <f aca="false">ROUND(H19/B19,3)</f>
        <v>0.999</v>
      </c>
      <c r="J19" s="7" t="n">
        <f aca="false">ROUND(G19/C19,3)</f>
        <v>0.501</v>
      </c>
      <c r="K19" s="5" t="s">
        <v>410</v>
      </c>
      <c r="L19" s="5" t="s">
        <v>374</v>
      </c>
      <c r="M19" s="5" t="n">
        <v>337</v>
      </c>
      <c r="N19" s="5" t="n">
        <f aca="false">E19+F19+G19+M19</f>
        <v>1086</v>
      </c>
      <c r="O19" s="5" t="n">
        <f aca="false">MAX(0,N19-B19)</f>
        <v>336</v>
      </c>
      <c r="P19" s="5" t="n">
        <f aca="false">ROUND(H19/49.5303,0)</f>
        <v>15</v>
      </c>
      <c r="Q19" s="5" t="n">
        <f aca="false">ROUND(N19/49.5303,0)</f>
        <v>22</v>
      </c>
    </row>
    <row r="20" customFormat="false" ht="15" hidden="false" customHeight="false" outlineLevel="0" collapsed="false">
      <c r="A20" s="4" t="s">
        <v>39</v>
      </c>
      <c r="B20" s="4" t="n">
        <v>7246</v>
      </c>
      <c r="C20" s="4" t="n">
        <v>7063</v>
      </c>
      <c r="D20" s="4" t="n">
        <v>361.7</v>
      </c>
      <c r="E20" s="4" t="n">
        <v>531</v>
      </c>
      <c r="F20" s="4" t="n">
        <v>420</v>
      </c>
      <c r="G20" s="4" t="n">
        <v>243</v>
      </c>
      <c r="H20" s="4" t="n">
        <f aca="false">E20+F20+G20</f>
        <v>1194</v>
      </c>
      <c r="I20" s="6" t="n">
        <f aca="false">ROUND(H20/B20,3)</f>
        <v>0.165</v>
      </c>
      <c r="J20" s="6" t="n">
        <f aca="false">ROUND(G20/C20,3)</f>
        <v>0.034</v>
      </c>
      <c r="K20" s="4" t="s">
        <v>410</v>
      </c>
      <c r="L20" s="4" t="s">
        <v>371</v>
      </c>
      <c r="M20" s="4" t="n">
        <v>0</v>
      </c>
      <c r="N20" s="4" t="n">
        <f aca="false">E20+F20+G20+M20</f>
        <v>1194</v>
      </c>
      <c r="O20" s="4" t="n">
        <f aca="false">MAX(0,N20-B20)</f>
        <v>0</v>
      </c>
      <c r="P20" s="4" t="n">
        <f aca="false">ROUND(H20/24.1112,0)</f>
        <v>50</v>
      </c>
      <c r="Q20" s="4" t="n">
        <f aca="false">ROUND(N20/24.1112,0)</f>
        <v>50</v>
      </c>
    </row>
    <row r="21" customFormat="false" ht="15" hidden="false" customHeight="false" outlineLevel="0" collapsed="false">
      <c r="A21" s="4" t="s">
        <v>70</v>
      </c>
      <c r="B21" s="4" t="n">
        <v>16880</v>
      </c>
      <c r="C21" s="4" t="n">
        <v>16523</v>
      </c>
      <c r="D21" s="4" t="n">
        <v>438.6</v>
      </c>
      <c r="E21" s="4" t="n">
        <v>696</v>
      </c>
      <c r="F21" s="4" t="n">
        <v>360</v>
      </c>
      <c r="G21" s="4" t="n">
        <v>292</v>
      </c>
      <c r="H21" s="4" t="n">
        <f aca="false">E21+F21+G21</f>
        <v>1348</v>
      </c>
      <c r="I21" s="6" t="n">
        <f aca="false">ROUND(H21/B21,3)</f>
        <v>0.08</v>
      </c>
      <c r="J21" s="6" t="n">
        <f aca="false">ROUND(G21/C21,3)</f>
        <v>0.018</v>
      </c>
      <c r="K21" s="4" t="s">
        <v>410</v>
      </c>
      <c r="L21" s="4" t="s">
        <v>371</v>
      </c>
      <c r="M21" s="4" t="n">
        <v>0</v>
      </c>
      <c r="N21" s="4" t="n">
        <f aca="false">E21+F21+G21+M21</f>
        <v>1348</v>
      </c>
      <c r="O21" s="4" t="n">
        <f aca="false">MAX(0,N21-B21)</f>
        <v>0</v>
      </c>
      <c r="P21" s="4" t="n">
        <f aca="false">ROUND(H21/29.2369,0)</f>
        <v>46</v>
      </c>
      <c r="Q21" s="4" t="n">
        <f aca="false">ROUND(N21/29.2369,0)</f>
        <v>46</v>
      </c>
    </row>
    <row r="22" customFormat="false" ht="15" hidden="false" customHeight="false" outlineLevel="0" collapsed="false">
      <c r="A22" s="5" t="s">
        <v>40</v>
      </c>
      <c r="B22" s="5" t="n">
        <v>750</v>
      </c>
      <c r="C22" s="5" t="n">
        <v>565</v>
      </c>
      <c r="D22" s="5" t="n">
        <v>425.8</v>
      </c>
      <c r="E22" s="5" t="n">
        <v>385</v>
      </c>
      <c r="F22" s="5" t="n">
        <v>219</v>
      </c>
      <c r="G22" s="5" t="n">
        <v>146</v>
      </c>
      <c r="H22" s="5" t="n">
        <f aca="false">E22+F22+G22</f>
        <v>750</v>
      </c>
      <c r="I22" s="7" t="n">
        <f aca="false">ROUND(H22/B22,3)</f>
        <v>1</v>
      </c>
      <c r="J22" s="7" t="n">
        <f aca="false">ROUND(G22/C22,3)</f>
        <v>0.258</v>
      </c>
      <c r="K22" s="5" t="s">
        <v>410</v>
      </c>
      <c r="L22" s="5" t="s">
        <v>374</v>
      </c>
      <c r="M22" s="5" t="n">
        <v>183</v>
      </c>
      <c r="N22" s="5" t="n">
        <f aca="false">E22+F22+G22+M22</f>
        <v>933</v>
      </c>
      <c r="O22" s="5" t="n">
        <f aca="false">MAX(0,N22-B22)</f>
        <v>183</v>
      </c>
      <c r="P22" s="5" t="n">
        <f aca="false">ROUND(H22/28.3844,0)</f>
        <v>26</v>
      </c>
      <c r="Q22" s="5" t="n">
        <f aca="false">ROUND(N22/28.3844,0)</f>
        <v>33</v>
      </c>
    </row>
    <row r="23" customFormat="false" ht="15" hidden="false" customHeight="false" outlineLevel="0" collapsed="false">
      <c r="A23" s="5" t="s">
        <v>394</v>
      </c>
      <c r="B23" s="5" t="n">
        <v>750</v>
      </c>
      <c r="C23" s="5" t="n">
        <v>571</v>
      </c>
      <c r="D23" s="5" t="n">
        <v>372.1</v>
      </c>
      <c r="E23" s="5" t="n">
        <v>469</v>
      </c>
      <c r="F23" s="5" t="n">
        <v>296</v>
      </c>
      <c r="G23" s="5" t="n">
        <v>0</v>
      </c>
      <c r="H23" s="5" t="n">
        <f aca="false">E23+F23+G23</f>
        <v>765</v>
      </c>
      <c r="I23" s="7" t="n">
        <f aca="false">ROUND(H23/B23,3)</f>
        <v>1.02</v>
      </c>
      <c r="J23" s="7" t="n">
        <f aca="false">ROUND(G23/C23,3)</f>
        <v>0</v>
      </c>
      <c r="K23" s="5" t="s">
        <v>410</v>
      </c>
      <c r="L23" s="5" t="s">
        <v>374</v>
      </c>
      <c r="M23" s="5" t="n">
        <v>263</v>
      </c>
      <c r="N23" s="5" t="n">
        <f aca="false">E23+F23+G23+M23</f>
        <v>1028</v>
      </c>
      <c r="O23" s="5" t="n">
        <f aca="false">MAX(0,N23-B23)</f>
        <v>278</v>
      </c>
      <c r="P23" s="5" t="n">
        <f aca="false">ROUND(H23/24.8074,0)</f>
        <v>31</v>
      </c>
      <c r="Q23" s="5" t="n">
        <f aca="false">ROUND(N23/24.8074,0)</f>
        <v>41</v>
      </c>
    </row>
    <row r="24" customFormat="false" ht="15" hidden="false" customHeight="false" outlineLevel="0" collapsed="false">
      <c r="A24" s="3" t="s">
        <v>15</v>
      </c>
      <c r="B24" s="3" t="n">
        <v>5000</v>
      </c>
      <c r="C24" s="3" t="n">
        <v>4919</v>
      </c>
      <c r="D24" s="3" t="n">
        <v>0</v>
      </c>
      <c r="E24" s="3" t="n">
        <v>2</v>
      </c>
      <c r="F24" s="3" t="n">
        <v>2907</v>
      </c>
      <c r="G24" s="3" t="n">
        <v>1042</v>
      </c>
      <c r="H24" s="3" t="n">
        <f aca="false">E24+F24+G24</f>
        <v>3951</v>
      </c>
      <c r="I24" s="8" t="n">
        <f aca="false">ROUND(H24/B24,3)</f>
        <v>0.79</v>
      </c>
      <c r="J24" s="8" t="n">
        <f aca="false">ROUND(G24/C24,3)</f>
        <v>0.212</v>
      </c>
      <c r="K24" s="3" t="s">
        <v>412</v>
      </c>
      <c r="L24" s="3" t="s">
        <v>413</v>
      </c>
      <c r="M24" s="3" t="n">
        <v>0</v>
      </c>
      <c r="N24" s="3" t="n">
        <f aca="false">E24+F24+G24+M24</f>
        <v>3951</v>
      </c>
      <c r="O24" s="3" t="n">
        <f aca="false">MAX(0,N24-B24)</f>
        <v>0</v>
      </c>
      <c r="P24" s="3" t="s">
        <v>17</v>
      </c>
      <c r="Q24" s="3" t="s">
        <v>17</v>
      </c>
    </row>
    <row r="25" customFormat="false" ht="15" hidden="false" customHeight="false" outlineLevel="0" collapsed="false">
      <c r="A25" s="3" t="s">
        <v>33</v>
      </c>
      <c r="B25" s="3" t="n">
        <v>5000</v>
      </c>
      <c r="C25" s="3" t="n">
        <v>2614</v>
      </c>
      <c r="D25" s="3" t="n">
        <v>0</v>
      </c>
      <c r="E25" s="3" t="n">
        <v>55</v>
      </c>
      <c r="F25" s="3" t="n">
        <v>1700</v>
      </c>
      <c r="G25" s="3" t="n">
        <v>438</v>
      </c>
      <c r="H25" s="3" t="n">
        <f aca="false">E25+F25+G25</f>
        <v>2193</v>
      </c>
      <c r="I25" s="8" t="n">
        <f aca="false">ROUND(H25/B25,3)</f>
        <v>0.439</v>
      </c>
      <c r="J25" s="8" t="n">
        <f aca="false">ROUND(G25/C25,3)</f>
        <v>0.168</v>
      </c>
      <c r="K25" s="3" t="s">
        <v>412</v>
      </c>
      <c r="L25" s="3" t="s">
        <v>413</v>
      </c>
      <c r="M25" s="3" t="n">
        <v>0</v>
      </c>
      <c r="N25" s="3" t="n">
        <f aca="false">E25+F25+G25+M25</f>
        <v>2193</v>
      </c>
      <c r="O25" s="3" t="n">
        <f aca="false">MAX(0,N25-B25)</f>
        <v>0</v>
      </c>
      <c r="P25" s="3" t="s">
        <v>17</v>
      </c>
      <c r="Q25" s="3" t="s">
        <v>17</v>
      </c>
    </row>
    <row r="28" customFormat="false" ht="15" hidden="false" customHeight="false" outlineLevel="0" collapsed="false">
      <c r="A28" s="9" t="s">
        <v>414</v>
      </c>
    </row>
    <row r="29" customFormat="false" ht="30" hidden="false" customHeight="true" outlineLevel="0" collapsed="false">
      <c r="A29" s="10" t="s">
        <v>415</v>
      </c>
      <c r="B29" s="10"/>
      <c r="C29" s="10"/>
      <c r="D29" s="10"/>
      <c r="E29" s="10"/>
      <c r="F29" s="10"/>
      <c r="G29" s="10"/>
      <c r="H29" s="10"/>
      <c r="I29" s="10"/>
      <c r="J29" s="10"/>
    </row>
    <row r="30" customFormat="false" ht="30" hidden="false" customHeight="true" outlineLevel="0" collapsed="false">
      <c r="A30" s="10" t="s">
        <v>416</v>
      </c>
      <c r="B30" s="10"/>
      <c r="C30" s="10"/>
      <c r="D30" s="10"/>
      <c r="E30" s="10"/>
      <c r="F30" s="10"/>
      <c r="G30" s="10"/>
      <c r="H30" s="10"/>
      <c r="I30" s="10"/>
      <c r="J30" s="10"/>
    </row>
    <row r="31" customFormat="false" ht="30" hidden="false" customHeight="true" outlineLevel="0" collapsed="false">
      <c r="A31" s="10" t="s">
        <v>417</v>
      </c>
      <c r="B31" s="10"/>
      <c r="C31" s="10"/>
      <c r="D31" s="10"/>
      <c r="E31" s="10"/>
      <c r="F31" s="10"/>
      <c r="G31" s="10"/>
      <c r="H31" s="10"/>
      <c r="I31" s="10"/>
      <c r="J31" s="10"/>
    </row>
    <row r="32" customFormat="false" ht="30" hidden="false" customHeight="true" outlineLevel="0" collapsed="false">
      <c r="A32" s="10" t="s">
        <v>418</v>
      </c>
      <c r="B32" s="10"/>
      <c r="C32" s="10"/>
      <c r="D32" s="10"/>
      <c r="E32" s="10"/>
      <c r="F32" s="10"/>
      <c r="G32" s="10"/>
      <c r="H32" s="10"/>
      <c r="I32" s="10"/>
      <c r="J32" s="10"/>
    </row>
    <row r="33" customFormat="false" ht="30" hidden="false" customHeight="true" outlineLevel="0" collapsed="false">
      <c r="A33" s="10" t="s">
        <v>419</v>
      </c>
      <c r="B33" s="10"/>
      <c r="C33" s="10"/>
      <c r="D33" s="10"/>
      <c r="E33" s="10"/>
      <c r="F33" s="10"/>
      <c r="G33" s="10"/>
      <c r="H33" s="10"/>
      <c r="I33" s="10"/>
      <c r="J33" s="10"/>
    </row>
    <row r="34" customFormat="false" ht="30" hidden="false" customHeight="true" outlineLevel="0" collapsed="false">
      <c r="A34" s="10" t="s">
        <v>420</v>
      </c>
      <c r="B34" s="10"/>
      <c r="C34" s="10"/>
      <c r="D34" s="10"/>
      <c r="E34" s="10"/>
      <c r="F34" s="10"/>
      <c r="G34" s="10"/>
      <c r="H34" s="10"/>
      <c r="I34" s="10"/>
      <c r="J34" s="10"/>
    </row>
  </sheetData>
  <mergeCells count="6">
    <mergeCell ref="A29:J29"/>
    <mergeCell ref="A30:J30"/>
    <mergeCell ref="A31:J31"/>
    <mergeCell ref="A32:J32"/>
    <mergeCell ref="A33:J33"/>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32"/>
    <col collapsed="false" customWidth="true" hidden="false" outlineLevel="0" max="4" min="4" style="0" width="12"/>
    <col collapsed="false" customWidth="true" hidden="false" outlineLevel="0" max="5" min="5" style="0" width="18"/>
    <col collapsed="false" customWidth="true" hidden="false" outlineLevel="0" max="6" min="6" style="0" width="12"/>
    <col collapsed="false" customWidth="true" hidden="false" outlineLevel="0" max="7" min="7" style="0" width="17"/>
    <col collapsed="false" customWidth="true" hidden="false" outlineLevel="0" max="8" min="8" style="0" width="15"/>
    <col collapsed="false" customWidth="true" hidden="false" outlineLevel="0" max="9" min="9" style="0" width="10"/>
    <col collapsed="false" customWidth="true" hidden="false" outlineLevel="0" max="10" min="10" style="0" width="11"/>
    <col collapsed="false" customWidth="true" hidden="false" outlineLevel="0" max="11" min="11" style="0" width="14"/>
    <col collapsed="false" customWidth="true" hidden="false" outlineLevel="0" max="12" min="12" style="0" width="11"/>
    <col collapsed="false" customWidth="true" hidden="false" outlineLevel="0" max="13" min="13" style="0" width="20"/>
    <col collapsed="false" customWidth="true" hidden="false" outlineLevel="0" max="14" min="14" style="0" width="10"/>
    <col collapsed="false" customWidth="true" hidden="false" outlineLevel="0" max="15" min="15" style="0" width="12"/>
    <col collapsed="false" customWidth="true" hidden="false" outlineLevel="0" max="16" min="16" style="0" width="15"/>
    <col collapsed="false" customWidth="true" hidden="false" outlineLevel="0" max="17" min="17" style="0" width="14"/>
    <col collapsed="false" customWidth="true" hidden="false" outlineLevel="0" max="18" min="18" style="0" width="13"/>
    <col collapsed="false" customWidth="true" hidden="false" outlineLevel="0" max="19" min="19" style="0" width="11"/>
    <col collapsed="false" customWidth="true" hidden="false" outlineLevel="0" max="20" min="20" style="0" width="16"/>
    <col collapsed="false" customWidth="true" hidden="false" outlineLevel="0" max="21" min="21" style="0" width="30"/>
    <col collapsed="false" customWidth="true" hidden="false" outlineLevel="0" max="22" min="22" style="0" width="22"/>
  </cols>
  <sheetData>
    <row r="1" customFormat="false" ht="15" hidden="false" customHeight="false" outlineLevel="0" collapsed="false">
      <c r="A1" s="1" t="s">
        <v>0</v>
      </c>
      <c r="B1" s="1"/>
      <c r="C1" s="1"/>
      <c r="D1" s="1" t="n">
        <f aca="false">SUM(D3:D243)</f>
        <v>3880</v>
      </c>
      <c r="E1" s="1" t="n">
        <f aca="false">SUM(E3:E243)</f>
        <v>1969</v>
      </c>
      <c r="F1" s="1"/>
      <c r="G1" s="1"/>
      <c r="H1" s="1" t="n">
        <f aca="false">SUM(H3:H243)</f>
        <v>17547</v>
      </c>
      <c r="I1" s="1" t="n">
        <f aca="false">SUM(I3:I243)</f>
        <v>6933</v>
      </c>
      <c r="J1" s="1" t="n">
        <f aca="false">SUM(J3:J243)</f>
        <v>82248</v>
      </c>
      <c r="K1" s="1"/>
      <c r="L1" s="1" t="n">
        <f aca="false">SUM(L3:L243)</f>
        <v>14138.6</v>
      </c>
      <c r="M1" s="1" t="n">
        <f aca="false">SUM(M3:M243)</f>
        <v>10814.3</v>
      </c>
      <c r="N1" s="1" t="n">
        <f aca="false">SUM(N3:N243)</f>
        <v>4679.8</v>
      </c>
      <c r="O1" s="1" t="n">
        <f aca="false">SUM(O3:O243)</f>
        <v>2264</v>
      </c>
      <c r="P1" s="1" t="n">
        <f aca="false">SUM(P3:P243)</f>
        <v>1480</v>
      </c>
      <c r="Q1" s="1" t="n">
        <f aca="false">SUM(Q3:Q243)</f>
        <v>3744</v>
      </c>
      <c r="R1" s="1" t="n">
        <f aca="false">SUM(R3:R243)</f>
        <v>1</v>
      </c>
      <c r="S1" s="1" t="n">
        <f aca="false">SUM(S3:S243)</f>
        <v>0</v>
      </c>
      <c r="T1" s="1"/>
      <c r="U1" s="1"/>
      <c r="V1" s="1"/>
    </row>
    <row r="2" customFormat="false" ht="15" hidden="false" customHeight="false" outlineLevel="0" collapsed="false">
      <c r="A2" s="2" t="s">
        <v>1</v>
      </c>
      <c r="B2" s="2" t="s">
        <v>2</v>
      </c>
      <c r="C2" s="2" t="s">
        <v>3</v>
      </c>
      <c r="D2" s="2" t="s">
        <v>6</v>
      </c>
      <c r="E2" s="2" t="s">
        <v>421</v>
      </c>
      <c r="F2" s="2" t="s">
        <v>422</v>
      </c>
      <c r="G2" s="2" t="s">
        <v>423</v>
      </c>
      <c r="H2" s="2" t="s">
        <v>424</v>
      </c>
      <c r="I2" s="2" t="s">
        <v>425</v>
      </c>
      <c r="J2" s="2" t="s">
        <v>426</v>
      </c>
      <c r="K2" s="2" t="s">
        <v>362</v>
      </c>
      <c r="L2" s="2" t="s">
        <v>427</v>
      </c>
      <c r="M2" s="2" t="s">
        <v>428</v>
      </c>
      <c r="N2" s="2" t="s">
        <v>429</v>
      </c>
      <c r="O2" s="2" t="s">
        <v>430</v>
      </c>
      <c r="P2" s="2" t="s">
        <v>431</v>
      </c>
      <c r="Q2" s="2" t="s">
        <v>432</v>
      </c>
      <c r="R2" s="2" t="s">
        <v>433</v>
      </c>
      <c r="S2" s="2" t="s">
        <v>434</v>
      </c>
      <c r="T2" s="2" t="s">
        <v>11</v>
      </c>
      <c r="U2" s="2" t="s">
        <v>435</v>
      </c>
      <c r="V2" s="2" t="s">
        <v>436</v>
      </c>
    </row>
    <row r="3" customFormat="false" ht="15" hidden="false" customHeight="false" outlineLevel="0" collapsed="false">
      <c r="A3" s="4" t="s">
        <v>12</v>
      </c>
      <c r="B3" s="4" t="s">
        <v>13</v>
      </c>
      <c r="C3" s="4" t="s">
        <v>14</v>
      </c>
      <c r="D3" s="4" t="n">
        <v>2</v>
      </c>
      <c r="E3" s="4" t="n">
        <v>0</v>
      </c>
      <c r="F3" s="6" t="n">
        <f aca="false">IF((D3+E3)=0,0,E3/(D3+E3))</f>
        <v>0</v>
      </c>
      <c r="G3" s="4" t="n">
        <v>0.13</v>
      </c>
      <c r="H3" s="4" t="n">
        <v>6</v>
      </c>
      <c r="I3" s="4" t="n">
        <v>27</v>
      </c>
      <c r="J3" s="4" t="n">
        <v>569</v>
      </c>
      <c r="K3" s="4" t="n">
        <f aca="false">IF(G3&lt;=0,"n/a",ROUND(I3/G3,0))</f>
        <v>208</v>
      </c>
      <c r="L3" s="4" t="n">
        <v>6</v>
      </c>
      <c r="M3" s="4" t="n">
        <v>0</v>
      </c>
      <c r="N3" s="4" t="n">
        <v>6</v>
      </c>
      <c r="O3" s="4" t="n">
        <v>2</v>
      </c>
      <c r="P3" s="4" t="n">
        <v>4</v>
      </c>
      <c r="Q3" s="4" t="n">
        <f aca="false">O3+P3</f>
        <v>6</v>
      </c>
      <c r="R3" s="4" t="n">
        <v>0</v>
      </c>
      <c r="S3" s="4" t="n">
        <f aca="false">MAX(0,Q3-J3)</f>
        <v>0</v>
      </c>
      <c r="T3" s="4" t="n">
        <f aca="false">IF(G3&lt;=0,"n/a",ROUND((I3+O3)/G3,0))</f>
        <v>223</v>
      </c>
      <c r="U3" s="4" t="s">
        <v>437</v>
      </c>
      <c r="V3" s="4" t="s">
        <v>438</v>
      </c>
    </row>
    <row r="4" customFormat="false" ht="15" hidden="false" customHeight="false" outlineLevel="0" collapsed="false">
      <c r="A4" s="4" t="s">
        <v>439</v>
      </c>
      <c r="B4" s="4" t="s">
        <v>440</v>
      </c>
      <c r="C4" s="4" t="s">
        <v>441</v>
      </c>
      <c r="D4" s="4" t="n">
        <v>0</v>
      </c>
      <c r="E4" s="4" t="n">
        <v>1</v>
      </c>
      <c r="F4" s="6" t="n">
        <f aca="false">IF((D4+E4)=0,0,E4/(D4+E4))</f>
        <v>1</v>
      </c>
      <c r="G4" s="4" t="n">
        <v>0.07</v>
      </c>
      <c r="H4" s="4" t="n">
        <v>3</v>
      </c>
      <c r="I4" s="4" t="n">
        <v>0</v>
      </c>
      <c r="J4" s="4" t="n">
        <v>69</v>
      </c>
      <c r="K4" s="4" t="n">
        <f aca="false">IF(G4&lt;=0,"n/a",ROUND(I4/G4,0))</f>
        <v>0</v>
      </c>
      <c r="L4" s="4" t="n">
        <v>3</v>
      </c>
      <c r="M4" s="4" t="n">
        <v>0</v>
      </c>
      <c r="N4" s="4" t="n">
        <v>3</v>
      </c>
      <c r="O4" s="4" t="n">
        <v>0</v>
      </c>
      <c r="P4" s="4" t="n">
        <v>0</v>
      </c>
      <c r="Q4" s="4" t="n">
        <f aca="false">O4+P4</f>
        <v>0</v>
      </c>
      <c r="R4" s="4" t="n">
        <v>0</v>
      </c>
      <c r="S4" s="4" t="n">
        <f aca="false">MAX(0,Q4-J4)</f>
        <v>0</v>
      </c>
      <c r="T4" s="4" t="n">
        <f aca="false">IF(G4&lt;=0,"n/a",ROUND((I4+O4)/G4,0))</f>
        <v>0</v>
      </c>
      <c r="U4" s="4" t="s">
        <v>437</v>
      </c>
      <c r="V4" s="4" t="s">
        <v>442</v>
      </c>
    </row>
    <row r="5" customFormat="false" ht="15" hidden="false" customHeight="false" outlineLevel="0" collapsed="false">
      <c r="A5" s="4" t="s">
        <v>443</v>
      </c>
      <c r="B5" s="4" t="s">
        <v>444</v>
      </c>
      <c r="C5" s="4" t="s">
        <v>445</v>
      </c>
      <c r="D5" s="4" t="n">
        <v>0</v>
      </c>
      <c r="E5" s="4" t="n">
        <v>2</v>
      </c>
      <c r="F5" s="6" t="n">
        <f aca="false">IF((D5+E5)=0,0,E5/(D5+E5))</f>
        <v>1</v>
      </c>
      <c r="G5" s="4" t="n">
        <v>0.13</v>
      </c>
      <c r="H5" s="4" t="n">
        <v>6</v>
      </c>
      <c r="I5" s="4" t="n">
        <v>0</v>
      </c>
      <c r="J5" s="4" t="n">
        <v>116</v>
      </c>
      <c r="K5" s="4" t="n">
        <f aca="false">IF(G5&lt;=0,"n/a",ROUND(I5/G5,0))</f>
        <v>0</v>
      </c>
      <c r="L5" s="4" t="n">
        <v>6</v>
      </c>
      <c r="M5" s="4" t="n">
        <v>16</v>
      </c>
      <c r="N5" s="4" t="n">
        <v>0</v>
      </c>
      <c r="O5" s="4" t="n">
        <v>0</v>
      </c>
      <c r="P5" s="4" t="n">
        <v>0</v>
      </c>
      <c r="Q5" s="4" t="n">
        <f aca="false">O5+P5</f>
        <v>0</v>
      </c>
      <c r="R5" s="4" t="n">
        <v>0</v>
      </c>
      <c r="S5" s="4" t="n">
        <f aca="false">MAX(0,Q5-J5)</f>
        <v>0</v>
      </c>
      <c r="T5" s="4" t="n">
        <f aca="false">IF(G5&lt;=0,"n/a",ROUND((I5+O5)/G5,0))</f>
        <v>0</v>
      </c>
      <c r="U5" s="4" t="s">
        <v>437</v>
      </c>
      <c r="V5" s="4" t="s">
        <v>446</v>
      </c>
    </row>
    <row r="6" customFormat="false" ht="15" hidden="false" customHeight="false" outlineLevel="0" collapsed="false">
      <c r="A6" s="4" t="s">
        <v>20</v>
      </c>
      <c r="B6" s="4" t="s">
        <v>21</v>
      </c>
      <c r="C6" s="4" t="s">
        <v>22</v>
      </c>
      <c r="D6" s="4" t="n">
        <v>0</v>
      </c>
      <c r="E6" s="4" t="n">
        <v>2</v>
      </c>
      <c r="F6" s="6" t="n">
        <f aca="false">IF((D6+E6)=0,0,E6/(D6+E6))</f>
        <v>1</v>
      </c>
      <c r="G6" s="4" t="n">
        <v>0.13</v>
      </c>
      <c r="H6" s="4" t="n">
        <v>6</v>
      </c>
      <c r="I6" s="4" t="n">
        <v>0</v>
      </c>
      <c r="J6" s="4" t="n">
        <v>125</v>
      </c>
      <c r="K6" s="4" t="n">
        <f aca="false">IF(G6&lt;=0,"n/a",ROUND(I6/G6,0))</f>
        <v>0</v>
      </c>
      <c r="L6" s="4" t="n">
        <v>6</v>
      </c>
      <c r="M6" s="4" t="n">
        <v>0</v>
      </c>
      <c r="N6" s="4" t="n">
        <v>6</v>
      </c>
      <c r="O6" s="4" t="n">
        <v>2</v>
      </c>
      <c r="P6" s="4" t="n">
        <v>4</v>
      </c>
      <c r="Q6" s="4" t="n">
        <f aca="false">O6+P6</f>
        <v>6</v>
      </c>
      <c r="R6" s="4" t="n">
        <v>0</v>
      </c>
      <c r="S6" s="4" t="n">
        <f aca="false">MAX(0,Q6-J6)</f>
        <v>0</v>
      </c>
      <c r="T6" s="4" t="n">
        <f aca="false">IF(G6&lt;=0,"n/a",ROUND((I6+O6)/G6,0))</f>
        <v>15</v>
      </c>
      <c r="U6" s="4" t="s">
        <v>437</v>
      </c>
      <c r="V6" s="4" t="s">
        <v>438</v>
      </c>
    </row>
    <row r="7" customFormat="false" ht="15" hidden="false" customHeight="false" outlineLevel="0" collapsed="false">
      <c r="A7" s="4" t="s">
        <v>23</v>
      </c>
      <c r="B7" s="4" t="s">
        <v>24</v>
      </c>
      <c r="C7" s="4" t="s">
        <v>25</v>
      </c>
      <c r="D7" s="4" t="n">
        <v>5</v>
      </c>
      <c r="E7" s="4" t="n">
        <v>2</v>
      </c>
      <c r="F7" s="6" t="n">
        <f aca="false">IF((D7+E7)=0,0,E7/(D7+E7))</f>
        <v>0.285714285714286</v>
      </c>
      <c r="G7" s="4" t="n">
        <v>0.47</v>
      </c>
      <c r="H7" s="4" t="n">
        <v>21</v>
      </c>
      <c r="I7" s="4" t="n">
        <v>17</v>
      </c>
      <c r="J7" s="4" t="n">
        <v>668</v>
      </c>
      <c r="K7" s="4" t="n">
        <f aca="false">IF(G7&lt;=0,"n/a",ROUND(I7/G7,0))</f>
        <v>36</v>
      </c>
      <c r="L7" s="4" t="n">
        <v>18</v>
      </c>
      <c r="M7" s="4" t="n">
        <v>3</v>
      </c>
      <c r="N7" s="4" t="n">
        <v>15</v>
      </c>
      <c r="O7" s="4" t="n">
        <v>3</v>
      </c>
      <c r="P7" s="4" t="n">
        <v>0</v>
      </c>
      <c r="Q7" s="4" t="n">
        <f aca="false">O7+P7</f>
        <v>3</v>
      </c>
      <c r="R7" s="4" t="n">
        <v>0</v>
      </c>
      <c r="S7" s="4" t="n">
        <f aca="false">MAX(0,Q7-J7)</f>
        <v>0</v>
      </c>
      <c r="T7" s="4" t="n">
        <f aca="false">IF(G7&lt;=0,"n/a",ROUND((I7+O7)/G7,0))</f>
        <v>43</v>
      </c>
      <c r="U7" s="4" t="s">
        <v>447</v>
      </c>
      <c r="V7" s="4" t="s">
        <v>448</v>
      </c>
    </row>
    <row r="8" customFormat="false" ht="15" hidden="false" customHeight="false" outlineLevel="0" collapsed="false">
      <c r="A8" s="4" t="s">
        <v>26</v>
      </c>
      <c r="B8" s="4" t="s">
        <v>27</v>
      </c>
      <c r="C8" s="4" t="s">
        <v>28</v>
      </c>
      <c r="D8" s="4" t="n">
        <v>84</v>
      </c>
      <c r="E8" s="4" t="n">
        <v>10</v>
      </c>
      <c r="F8" s="6" t="n">
        <f aca="false">IF((D8+E8)=0,0,E8/(D8+E8))</f>
        <v>0.106382978723404</v>
      </c>
      <c r="G8" s="4" t="n">
        <v>6.27</v>
      </c>
      <c r="H8" s="4" t="n">
        <v>282</v>
      </c>
      <c r="I8" s="4" t="n">
        <v>120</v>
      </c>
      <c r="J8" s="4" t="n">
        <v>1089</v>
      </c>
      <c r="K8" s="4" t="n">
        <f aca="false">IF(G8&lt;=0,"n/a",ROUND(I8/G8,0))</f>
        <v>19</v>
      </c>
      <c r="L8" s="4" t="n">
        <v>217.7</v>
      </c>
      <c r="M8" s="4" t="n">
        <v>150.1</v>
      </c>
      <c r="N8" s="4" t="n">
        <v>67.6</v>
      </c>
      <c r="O8" s="4" t="n">
        <v>23</v>
      </c>
      <c r="P8" s="4" t="n">
        <v>42</v>
      </c>
      <c r="Q8" s="4" t="n">
        <f aca="false">O8+P8</f>
        <v>65</v>
      </c>
      <c r="R8" s="4" t="n">
        <v>0</v>
      </c>
      <c r="S8" s="4" t="n">
        <f aca="false">MAX(0,Q8-J8)</f>
        <v>0</v>
      </c>
      <c r="T8" s="4" t="n">
        <f aca="false">IF(G8&lt;=0,"n/a",ROUND((I8+O8)/G8,0))</f>
        <v>23</v>
      </c>
      <c r="U8" s="4" t="s">
        <v>447</v>
      </c>
      <c r="V8" s="4" t="s">
        <v>438</v>
      </c>
    </row>
    <row r="9" customFormat="false" ht="15" hidden="false" customHeight="false" outlineLevel="0" collapsed="false">
      <c r="A9" s="4" t="s">
        <v>449</v>
      </c>
      <c r="B9" s="4" t="s">
        <v>450</v>
      </c>
      <c r="C9" s="4" t="s">
        <v>451</v>
      </c>
      <c r="D9" s="4" t="n">
        <v>0</v>
      </c>
      <c r="E9" s="4" t="n">
        <v>1</v>
      </c>
      <c r="F9" s="6" t="n">
        <f aca="false">IF((D9+E9)=0,0,E9/(D9+E9))</f>
        <v>1</v>
      </c>
      <c r="G9" s="4" t="n">
        <v>0.07</v>
      </c>
      <c r="H9" s="4" t="n">
        <v>3</v>
      </c>
      <c r="I9" s="4" t="n">
        <v>0</v>
      </c>
      <c r="J9" s="4" t="n">
        <v>44</v>
      </c>
      <c r="K9" s="4" t="n">
        <f aca="false">IF(G9&lt;=0,"n/a",ROUND(I9/G9,0))</f>
        <v>0</v>
      </c>
      <c r="L9" s="4" t="n">
        <v>3</v>
      </c>
      <c r="M9" s="4" t="n">
        <v>0</v>
      </c>
      <c r="N9" s="4" t="n">
        <v>3</v>
      </c>
      <c r="O9" s="4" t="n">
        <v>0</v>
      </c>
      <c r="P9" s="4" t="n">
        <v>0</v>
      </c>
      <c r="Q9" s="4" t="n">
        <f aca="false">O9+P9</f>
        <v>0</v>
      </c>
      <c r="R9" s="4" t="n">
        <v>0</v>
      </c>
      <c r="S9" s="4" t="n">
        <f aca="false">MAX(0,Q9-J9)</f>
        <v>0</v>
      </c>
      <c r="T9" s="4" t="n">
        <f aca="false">IF(G9&lt;=0,"n/a",ROUND((I9+O9)/G9,0))</f>
        <v>0</v>
      </c>
      <c r="U9" s="4" t="s">
        <v>437</v>
      </c>
      <c r="V9" s="4" t="s">
        <v>442</v>
      </c>
    </row>
    <row r="10" customFormat="false" ht="15" hidden="false" customHeight="false" outlineLevel="0" collapsed="false">
      <c r="A10" s="4" t="s">
        <v>452</v>
      </c>
      <c r="B10" s="4" t="s">
        <v>453</v>
      </c>
      <c r="C10" s="4" t="s">
        <v>454</v>
      </c>
      <c r="D10" s="4" t="n">
        <v>7</v>
      </c>
      <c r="E10" s="4" t="n">
        <v>1</v>
      </c>
      <c r="F10" s="6" t="n">
        <f aca="false">IF((D10+E10)=0,0,E10/(D10+E10))</f>
        <v>0.125</v>
      </c>
      <c r="G10" s="4" t="n">
        <v>0.53</v>
      </c>
      <c r="H10" s="4" t="n">
        <v>24</v>
      </c>
      <c r="I10" s="4" t="n">
        <v>9</v>
      </c>
      <c r="J10" s="4" t="n">
        <v>159</v>
      </c>
      <c r="K10" s="4" t="n">
        <f aca="false">IF(G10&lt;=0,"n/a",ROUND(I10/G10,0))</f>
        <v>17</v>
      </c>
      <c r="L10" s="4" t="n">
        <v>15</v>
      </c>
      <c r="M10" s="4" t="n">
        <v>20</v>
      </c>
      <c r="N10" s="4" t="n">
        <v>0</v>
      </c>
      <c r="O10" s="4" t="n">
        <v>0</v>
      </c>
      <c r="P10" s="4" t="n">
        <v>0</v>
      </c>
      <c r="Q10" s="4" t="n">
        <f aca="false">O10+P10</f>
        <v>0</v>
      </c>
      <c r="R10" s="4" t="n">
        <v>0</v>
      </c>
      <c r="S10" s="4" t="n">
        <f aca="false">MAX(0,Q10-J10)</f>
        <v>0</v>
      </c>
      <c r="T10" s="4" t="n">
        <f aca="false">IF(G10&lt;=0,"n/a",ROUND((I10+O10)/G10,0))</f>
        <v>17</v>
      </c>
      <c r="U10" s="4" t="s">
        <v>447</v>
      </c>
      <c r="V10" s="4" t="s">
        <v>446</v>
      </c>
    </row>
    <row r="11" customFormat="false" ht="15" hidden="false" customHeight="false" outlineLevel="0" collapsed="false">
      <c r="A11" s="4" t="s">
        <v>455</v>
      </c>
      <c r="B11" s="4" t="s">
        <v>456</v>
      </c>
      <c r="C11" s="4" t="s">
        <v>457</v>
      </c>
      <c r="D11" s="4" t="n">
        <v>0</v>
      </c>
      <c r="E11" s="4" t="n">
        <v>4</v>
      </c>
      <c r="F11" s="6" t="n">
        <f aca="false">IF((D11+E11)=0,0,E11/(D11+E11))</f>
        <v>1</v>
      </c>
      <c r="G11" s="4" t="n">
        <v>0.27</v>
      </c>
      <c r="H11" s="4" t="n">
        <v>12</v>
      </c>
      <c r="I11" s="4" t="n">
        <v>0</v>
      </c>
      <c r="J11" s="4" t="n">
        <v>468</v>
      </c>
      <c r="K11" s="4" t="n">
        <f aca="false">IF(G11&lt;=0,"n/a",ROUND(I11/G11,0))</f>
        <v>0</v>
      </c>
      <c r="L11" s="4" t="n">
        <v>12</v>
      </c>
      <c r="M11" s="4" t="n">
        <v>13.9</v>
      </c>
      <c r="N11" s="4" t="n">
        <v>0</v>
      </c>
      <c r="O11" s="4" t="n">
        <v>0</v>
      </c>
      <c r="P11" s="4" t="n">
        <v>0</v>
      </c>
      <c r="Q11" s="4" t="n">
        <f aca="false">O11+P11</f>
        <v>0</v>
      </c>
      <c r="R11" s="4" t="n">
        <v>0</v>
      </c>
      <c r="S11" s="4" t="n">
        <f aca="false">MAX(0,Q11-J11)</f>
        <v>0</v>
      </c>
      <c r="T11" s="4" t="n">
        <f aca="false">IF(G11&lt;=0,"n/a",ROUND((I11+O11)/G11,0))</f>
        <v>0</v>
      </c>
      <c r="U11" s="4" t="s">
        <v>437</v>
      </c>
      <c r="V11" s="4" t="s">
        <v>446</v>
      </c>
    </row>
    <row r="12" customFormat="false" ht="15" hidden="false" customHeight="false" outlineLevel="0" collapsed="false">
      <c r="A12" s="4" t="s">
        <v>458</v>
      </c>
      <c r="B12" s="4" t="s">
        <v>459</v>
      </c>
      <c r="C12" s="4" t="s">
        <v>460</v>
      </c>
      <c r="D12" s="4" t="n">
        <v>0</v>
      </c>
      <c r="E12" s="4" t="n">
        <v>6</v>
      </c>
      <c r="F12" s="6" t="n">
        <f aca="false">IF((D12+E12)=0,0,E12/(D12+E12))</f>
        <v>1</v>
      </c>
      <c r="G12" s="4" t="n">
        <v>0.4</v>
      </c>
      <c r="H12" s="4" t="n">
        <v>18</v>
      </c>
      <c r="I12" s="4" t="n">
        <v>1</v>
      </c>
      <c r="J12" s="4" t="n">
        <v>674</v>
      </c>
      <c r="K12" s="4" t="n">
        <f aca="false">IF(G12&lt;=0,"n/a",ROUND(I12/G12,0))</f>
        <v>3</v>
      </c>
      <c r="L12" s="4" t="n">
        <v>18</v>
      </c>
      <c r="M12" s="4" t="n">
        <v>27.1</v>
      </c>
      <c r="N12" s="4" t="n">
        <v>0</v>
      </c>
      <c r="O12" s="4" t="n">
        <v>0</v>
      </c>
      <c r="P12" s="4" t="n">
        <v>0</v>
      </c>
      <c r="Q12" s="4" t="n">
        <f aca="false">O12+P12</f>
        <v>0</v>
      </c>
      <c r="R12" s="4" t="n">
        <v>0</v>
      </c>
      <c r="S12" s="4" t="n">
        <f aca="false">MAX(0,Q12-J12)</f>
        <v>0</v>
      </c>
      <c r="T12" s="4" t="n">
        <f aca="false">IF(G12&lt;=0,"n/a",ROUND((I12+O12)/G12,0))</f>
        <v>3</v>
      </c>
      <c r="U12" s="4" t="s">
        <v>437</v>
      </c>
      <c r="V12" s="4" t="s">
        <v>446</v>
      </c>
    </row>
    <row r="13" customFormat="false" ht="15" hidden="false" customHeight="false" outlineLevel="0" collapsed="false">
      <c r="A13" s="4" t="s">
        <v>461</v>
      </c>
      <c r="B13" s="4" t="s">
        <v>462</v>
      </c>
      <c r="C13" s="4" t="s">
        <v>463</v>
      </c>
      <c r="D13" s="4" t="n">
        <v>0</v>
      </c>
      <c r="E13" s="4" t="n">
        <v>1</v>
      </c>
      <c r="F13" s="6" t="n">
        <f aca="false">IF((D13+E13)=0,0,E13/(D13+E13))</f>
        <v>1</v>
      </c>
      <c r="G13" s="4" t="n">
        <v>0.07</v>
      </c>
      <c r="H13" s="4" t="n">
        <v>3</v>
      </c>
      <c r="I13" s="4" t="n">
        <v>0</v>
      </c>
      <c r="J13" s="4" t="n">
        <v>90</v>
      </c>
      <c r="K13" s="4" t="n">
        <f aca="false">IF(G13&lt;=0,"n/a",ROUND(I13/G13,0))</f>
        <v>0</v>
      </c>
      <c r="L13" s="4" t="n">
        <v>3</v>
      </c>
      <c r="M13" s="4" t="n">
        <v>0</v>
      </c>
      <c r="N13" s="4" t="n">
        <v>3</v>
      </c>
      <c r="O13" s="4" t="n">
        <v>0</v>
      </c>
      <c r="P13" s="4" t="n">
        <v>0</v>
      </c>
      <c r="Q13" s="4" t="n">
        <f aca="false">O13+P13</f>
        <v>0</v>
      </c>
      <c r="R13" s="4" t="n">
        <v>0</v>
      </c>
      <c r="S13" s="4" t="n">
        <f aca="false">MAX(0,Q13-J13)</f>
        <v>0</v>
      </c>
      <c r="T13" s="4" t="n">
        <f aca="false">IF(G13&lt;=0,"n/a",ROUND((I13+O13)/G13,0))</f>
        <v>0</v>
      </c>
      <c r="U13" s="4" t="s">
        <v>437</v>
      </c>
      <c r="V13" s="4" t="s">
        <v>442</v>
      </c>
    </row>
    <row r="14" customFormat="false" ht="15" hidden="false" customHeight="false" outlineLevel="0" collapsed="false">
      <c r="A14" s="4" t="s">
        <v>464</v>
      </c>
      <c r="B14" s="4" t="s">
        <v>465</v>
      </c>
      <c r="C14" s="4" t="s">
        <v>466</v>
      </c>
      <c r="D14" s="4" t="n">
        <v>0</v>
      </c>
      <c r="E14" s="4" t="n">
        <v>6</v>
      </c>
      <c r="F14" s="6" t="n">
        <f aca="false">IF((D14+E14)=0,0,E14/(D14+E14))</f>
        <v>1</v>
      </c>
      <c r="G14" s="4" t="n">
        <v>0.4</v>
      </c>
      <c r="H14" s="4" t="n">
        <v>18</v>
      </c>
      <c r="I14" s="4" t="n">
        <v>0</v>
      </c>
      <c r="J14" s="4" t="n">
        <v>108</v>
      </c>
      <c r="K14" s="4" t="n">
        <f aca="false">IF(G14&lt;=0,"n/a",ROUND(I14/G14,0))</f>
        <v>0</v>
      </c>
      <c r="L14" s="4" t="n">
        <v>18</v>
      </c>
      <c r="M14" s="4" t="n">
        <v>32</v>
      </c>
      <c r="N14" s="4" t="n">
        <v>0</v>
      </c>
      <c r="O14" s="4" t="n">
        <v>0</v>
      </c>
      <c r="P14" s="4" t="n">
        <v>0</v>
      </c>
      <c r="Q14" s="4" t="n">
        <f aca="false">O14+P14</f>
        <v>0</v>
      </c>
      <c r="R14" s="4" t="n">
        <v>0</v>
      </c>
      <c r="S14" s="4" t="n">
        <f aca="false">MAX(0,Q14-J14)</f>
        <v>0</v>
      </c>
      <c r="T14" s="4" t="n">
        <f aca="false">IF(G14&lt;=0,"n/a",ROUND((I14+O14)/G14,0))</f>
        <v>0</v>
      </c>
      <c r="U14" s="4" t="s">
        <v>437</v>
      </c>
      <c r="V14" s="4" t="s">
        <v>446</v>
      </c>
    </row>
    <row r="15" customFormat="false" ht="15" hidden="false" customHeight="false" outlineLevel="0" collapsed="false">
      <c r="A15" s="4" t="s">
        <v>36</v>
      </c>
      <c r="B15" s="4" t="s">
        <v>37</v>
      </c>
      <c r="C15" s="4" t="s">
        <v>38</v>
      </c>
      <c r="D15" s="4" t="n">
        <v>0</v>
      </c>
      <c r="E15" s="4" t="n">
        <v>30</v>
      </c>
      <c r="F15" s="6" t="n">
        <f aca="false">IF((D15+E15)=0,0,E15/(D15+E15))</f>
        <v>1</v>
      </c>
      <c r="G15" s="4" t="n">
        <v>2</v>
      </c>
      <c r="H15" s="4" t="n">
        <v>90</v>
      </c>
      <c r="I15" s="4" t="n">
        <v>16</v>
      </c>
      <c r="J15" s="4" t="n">
        <v>59</v>
      </c>
      <c r="K15" s="4" t="n">
        <f aca="false">IF(G15&lt;=0,"n/a",ROUND(I15/G15,0))</f>
        <v>8</v>
      </c>
      <c r="L15" s="4" t="n">
        <v>74.5</v>
      </c>
      <c r="M15" s="4" t="n">
        <v>38</v>
      </c>
      <c r="N15" s="4" t="n">
        <v>36.5</v>
      </c>
      <c r="O15" s="4" t="n">
        <v>12</v>
      </c>
      <c r="P15" s="4" t="n">
        <v>0</v>
      </c>
      <c r="Q15" s="4" t="n">
        <f aca="false">O15+P15</f>
        <v>12</v>
      </c>
      <c r="R15" s="4" t="n">
        <v>0</v>
      </c>
      <c r="S15" s="4" t="n">
        <f aca="false">MAX(0,Q15-J15)</f>
        <v>0</v>
      </c>
      <c r="T15" s="4" t="n">
        <f aca="false">IF(G15&lt;=0,"n/a",ROUND((I15+O15)/G15,0))</f>
        <v>14</v>
      </c>
      <c r="U15" s="4" t="s">
        <v>437</v>
      </c>
      <c r="V15" s="4" t="s">
        <v>448</v>
      </c>
    </row>
    <row r="16" customFormat="false" ht="15" hidden="false" customHeight="false" outlineLevel="0" collapsed="false">
      <c r="A16" s="4" t="s">
        <v>467</v>
      </c>
      <c r="B16" s="4" t="s">
        <v>468</v>
      </c>
      <c r="C16" s="4" t="s">
        <v>469</v>
      </c>
      <c r="D16" s="4" t="n">
        <v>5</v>
      </c>
      <c r="E16" s="4" t="n">
        <v>2</v>
      </c>
      <c r="F16" s="6" t="n">
        <f aca="false">IF((D16+E16)=0,0,E16/(D16+E16))</f>
        <v>0.285714285714286</v>
      </c>
      <c r="G16" s="4" t="n">
        <v>0.47</v>
      </c>
      <c r="H16" s="4" t="n">
        <v>21</v>
      </c>
      <c r="I16" s="4" t="n">
        <v>19</v>
      </c>
      <c r="J16" s="4" t="n">
        <v>493</v>
      </c>
      <c r="K16" s="4" t="n">
        <f aca="false">IF(G16&lt;=0,"n/a",ROUND(I16/G16,0))</f>
        <v>40</v>
      </c>
      <c r="L16" s="4" t="n">
        <v>18</v>
      </c>
      <c r="M16" s="4" t="n">
        <v>19</v>
      </c>
      <c r="N16" s="4" t="n">
        <v>0</v>
      </c>
      <c r="O16" s="4" t="n">
        <v>0</v>
      </c>
      <c r="P16" s="4" t="n">
        <v>0</v>
      </c>
      <c r="Q16" s="4" t="n">
        <f aca="false">O16+P16</f>
        <v>0</v>
      </c>
      <c r="R16" s="4" t="n">
        <v>0</v>
      </c>
      <c r="S16" s="4" t="n">
        <f aca="false">MAX(0,Q16-J16)</f>
        <v>0</v>
      </c>
      <c r="T16" s="4" t="n">
        <f aca="false">IF(G16&lt;=0,"n/a",ROUND((I16+O16)/G16,0))</f>
        <v>40</v>
      </c>
      <c r="U16" s="4" t="s">
        <v>447</v>
      </c>
      <c r="V16" s="4" t="s">
        <v>446</v>
      </c>
    </row>
    <row r="17" customFormat="false" ht="15" hidden="false" customHeight="false" outlineLevel="0" collapsed="false">
      <c r="A17" s="4" t="s">
        <v>470</v>
      </c>
      <c r="B17" s="4" t="s">
        <v>471</v>
      </c>
      <c r="C17" s="4" t="s">
        <v>472</v>
      </c>
      <c r="D17" s="4" t="n">
        <v>0</v>
      </c>
      <c r="E17" s="4" t="n">
        <v>1</v>
      </c>
      <c r="F17" s="6" t="n">
        <f aca="false">IF((D17+E17)=0,0,E17/(D17+E17))</f>
        <v>1</v>
      </c>
      <c r="G17" s="4" t="n">
        <v>0.07</v>
      </c>
      <c r="H17" s="4" t="n">
        <v>3</v>
      </c>
      <c r="I17" s="4" t="n">
        <v>0</v>
      </c>
      <c r="J17" s="4" t="n">
        <v>99</v>
      </c>
      <c r="K17" s="4" t="n">
        <f aca="false">IF(G17&lt;=0,"n/a",ROUND(I17/G17,0))</f>
        <v>0</v>
      </c>
      <c r="L17" s="4" t="n">
        <v>3</v>
      </c>
      <c r="M17" s="4" t="n">
        <v>0</v>
      </c>
      <c r="N17" s="4" t="n">
        <v>3</v>
      </c>
      <c r="O17" s="4" t="n">
        <v>0</v>
      </c>
      <c r="P17" s="4" t="n">
        <v>0</v>
      </c>
      <c r="Q17" s="4" t="n">
        <f aca="false">O17+P17</f>
        <v>0</v>
      </c>
      <c r="R17" s="4" t="n">
        <v>0</v>
      </c>
      <c r="S17" s="4" t="n">
        <f aca="false">MAX(0,Q17-J17)</f>
        <v>0</v>
      </c>
      <c r="T17" s="4" t="n">
        <f aca="false">IF(G17&lt;=0,"n/a",ROUND((I17+O17)/G17,0))</f>
        <v>0</v>
      </c>
      <c r="U17" s="4" t="s">
        <v>437</v>
      </c>
      <c r="V17" s="4" t="s">
        <v>442</v>
      </c>
    </row>
    <row r="18" customFormat="false" ht="15" hidden="false" customHeight="false" outlineLevel="0" collapsed="false">
      <c r="A18" s="4" t="s">
        <v>473</v>
      </c>
      <c r="B18" s="4" t="s">
        <v>474</v>
      </c>
      <c r="C18" s="4" t="s">
        <v>475</v>
      </c>
      <c r="D18" s="4" t="n">
        <v>2</v>
      </c>
      <c r="E18" s="4" t="n">
        <v>3</v>
      </c>
      <c r="F18" s="6" t="n">
        <f aca="false">IF((D18+E18)=0,0,E18/(D18+E18))</f>
        <v>0.6</v>
      </c>
      <c r="G18" s="4" t="n">
        <v>0.33</v>
      </c>
      <c r="H18" s="4" t="n">
        <v>15</v>
      </c>
      <c r="I18" s="4" t="n">
        <v>14</v>
      </c>
      <c r="J18" s="4" t="n">
        <v>512</v>
      </c>
      <c r="K18" s="4" t="n">
        <f aca="false">IF(G18&lt;=0,"n/a",ROUND(I18/G18,0))</f>
        <v>42</v>
      </c>
      <c r="L18" s="4" t="n">
        <v>14</v>
      </c>
      <c r="M18" s="4" t="n">
        <v>15</v>
      </c>
      <c r="N18" s="4" t="n">
        <v>0</v>
      </c>
      <c r="O18" s="4" t="n">
        <v>0</v>
      </c>
      <c r="P18" s="4" t="n">
        <v>0</v>
      </c>
      <c r="Q18" s="4" t="n">
        <f aca="false">O18+P18</f>
        <v>0</v>
      </c>
      <c r="R18" s="4" t="n">
        <v>0</v>
      </c>
      <c r="S18" s="4" t="n">
        <f aca="false">MAX(0,Q18-J18)</f>
        <v>0</v>
      </c>
      <c r="T18" s="4" t="n">
        <f aca="false">IF(G18&lt;=0,"n/a",ROUND((I18+O18)/G18,0))</f>
        <v>42</v>
      </c>
      <c r="U18" s="4" t="s">
        <v>437</v>
      </c>
      <c r="V18" s="4" t="s">
        <v>446</v>
      </c>
    </row>
    <row r="19" customFormat="false" ht="15" hidden="false" customHeight="false" outlineLevel="0" collapsed="false">
      <c r="A19" s="4" t="s">
        <v>476</v>
      </c>
      <c r="B19" s="4" t="s">
        <v>477</v>
      </c>
      <c r="C19" s="4" t="s">
        <v>478</v>
      </c>
      <c r="D19" s="4" t="n">
        <v>0</v>
      </c>
      <c r="E19" s="4" t="n">
        <v>3</v>
      </c>
      <c r="F19" s="6" t="n">
        <f aca="false">IF((D19+E19)=0,0,E19/(D19+E19))</f>
        <v>1</v>
      </c>
      <c r="G19" s="4" t="n">
        <v>0.2</v>
      </c>
      <c r="H19" s="4" t="n">
        <v>9</v>
      </c>
      <c r="I19" s="4" t="n">
        <v>0</v>
      </c>
      <c r="J19" s="4" t="n">
        <v>320</v>
      </c>
      <c r="K19" s="4" t="n">
        <f aca="false">IF(G19&lt;=0,"n/a",ROUND(I19/G19,0))</f>
        <v>0</v>
      </c>
      <c r="L19" s="4" t="n">
        <v>9</v>
      </c>
      <c r="M19" s="4" t="n">
        <v>21</v>
      </c>
      <c r="N19" s="4" t="n">
        <v>0</v>
      </c>
      <c r="O19" s="4" t="n">
        <v>0</v>
      </c>
      <c r="P19" s="4" t="n">
        <v>0</v>
      </c>
      <c r="Q19" s="4" t="n">
        <f aca="false">O19+P19</f>
        <v>0</v>
      </c>
      <c r="R19" s="4" t="n">
        <v>0</v>
      </c>
      <c r="S19" s="4" t="n">
        <f aca="false">MAX(0,Q19-J19)</f>
        <v>0</v>
      </c>
      <c r="T19" s="4" t="n">
        <f aca="false">IF(G19&lt;=0,"n/a",ROUND((I19+O19)/G19,0))</f>
        <v>0</v>
      </c>
      <c r="U19" s="4" t="s">
        <v>437</v>
      </c>
      <c r="V19" s="4" t="s">
        <v>446</v>
      </c>
    </row>
    <row r="20" customFormat="false" ht="15" hidden="false" customHeight="false" outlineLevel="0" collapsed="false">
      <c r="A20" s="4" t="s">
        <v>41</v>
      </c>
      <c r="B20" s="4" t="s">
        <v>42</v>
      </c>
      <c r="C20" s="4" t="s">
        <v>43</v>
      </c>
      <c r="D20" s="4" t="n">
        <v>6</v>
      </c>
      <c r="E20" s="4" t="n">
        <v>26</v>
      </c>
      <c r="F20" s="6" t="n">
        <f aca="false">IF((D20+E20)=0,0,E20/(D20+E20))</f>
        <v>0.8125</v>
      </c>
      <c r="G20" s="4" t="n">
        <v>2.13</v>
      </c>
      <c r="H20" s="4" t="n">
        <v>96</v>
      </c>
      <c r="I20" s="4" t="n">
        <v>3</v>
      </c>
      <c r="J20" s="4" t="n">
        <v>339</v>
      </c>
      <c r="K20" s="4" t="n">
        <f aca="false">IF(G20&lt;=0,"n/a",ROUND(I20/G20,0))</f>
        <v>1</v>
      </c>
      <c r="L20" s="4" t="n">
        <v>93</v>
      </c>
      <c r="M20" s="4" t="n">
        <v>34.2</v>
      </c>
      <c r="N20" s="4" t="n">
        <v>58.8</v>
      </c>
      <c r="O20" s="4" t="n">
        <v>6</v>
      </c>
      <c r="P20" s="4" t="n">
        <v>10</v>
      </c>
      <c r="Q20" s="4" t="n">
        <f aca="false">O20+P20</f>
        <v>16</v>
      </c>
      <c r="R20" s="4" t="n">
        <v>0</v>
      </c>
      <c r="S20" s="4" t="n">
        <f aca="false">MAX(0,Q20-J20)</f>
        <v>0</v>
      </c>
      <c r="T20" s="4" t="n">
        <f aca="false">IF(G20&lt;=0,"n/a",ROUND((I20+O20)/G20,0))</f>
        <v>4</v>
      </c>
      <c r="U20" s="4" t="s">
        <v>479</v>
      </c>
      <c r="V20" s="4" t="s">
        <v>438</v>
      </c>
    </row>
    <row r="21" customFormat="false" ht="15" hidden="false" customHeight="false" outlineLevel="0" collapsed="false">
      <c r="A21" s="4" t="s">
        <v>480</v>
      </c>
      <c r="B21" s="4" t="s">
        <v>481</v>
      </c>
      <c r="C21" s="4" t="s">
        <v>482</v>
      </c>
      <c r="D21" s="4" t="n">
        <v>0</v>
      </c>
      <c r="E21" s="4" t="n">
        <v>3</v>
      </c>
      <c r="F21" s="6" t="n">
        <f aca="false">IF((D21+E21)=0,0,E21/(D21+E21))</f>
        <v>1</v>
      </c>
      <c r="G21" s="4" t="n">
        <v>0.2</v>
      </c>
      <c r="H21" s="4" t="n">
        <v>9</v>
      </c>
      <c r="I21" s="4" t="n">
        <v>0</v>
      </c>
      <c r="J21" s="4" t="n">
        <v>47</v>
      </c>
      <c r="K21" s="4" t="n">
        <f aca="false">IF(G21&lt;=0,"n/a",ROUND(I21/G21,0))</f>
        <v>0</v>
      </c>
      <c r="L21" s="4" t="n">
        <v>9</v>
      </c>
      <c r="M21" s="4" t="n">
        <v>21</v>
      </c>
      <c r="N21" s="4" t="n">
        <v>0</v>
      </c>
      <c r="O21" s="4" t="n">
        <v>0</v>
      </c>
      <c r="P21" s="4" t="n">
        <v>0</v>
      </c>
      <c r="Q21" s="4" t="n">
        <f aca="false">O21+P21</f>
        <v>0</v>
      </c>
      <c r="R21" s="4" t="n">
        <v>0</v>
      </c>
      <c r="S21" s="4" t="n">
        <f aca="false">MAX(0,Q21-J21)</f>
        <v>0</v>
      </c>
      <c r="T21" s="4" t="n">
        <f aca="false">IF(G21&lt;=0,"n/a",ROUND((I21+O21)/G21,0))</f>
        <v>0</v>
      </c>
      <c r="U21" s="4" t="s">
        <v>437</v>
      </c>
      <c r="V21" s="4" t="s">
        <v>446</v>
      </c>
    </row>
    <row r="22" customFormat="false" ht="15" hidden="false" customHeight="false" outlineLevel="0" collapsed="false">
      <c r="A22" s="4" t="s">
        <v>483</v>
      </c>
      <c r="B22" s="4" t="s">
        <v>484</v>
      </c>
      <c r="C22" s="4" t="s">
        <v>485</v>
      </c>
      <c r="D22" s="4" t="n">
        <v>0</v>
      </c>
      <c r="E22" s="4" t="n">
        <v>1</v>
      </c>
      <c r="F22" s="6" t="n">
        <f aca="false">IF((D22+E22)=0,0,E22/(D22+E22))</f>
        <v>1</v>
      </c>
      <c r="G22" s="4" t="n">
        <v>0.07</v>
      </c>
      <c r="H22" s="4" t="n">
        <v>3</v>
      </c>
      <c r="I22" s="4" t="n">
        <v>0</v>
      </c>
      <c r="J22" s="4" t="n">
        <v>90</v>
      </c>
      <c r="K22" s="4" t="n">
        <f aca="false">IF(G22&lt;=0,"n/a",ROUND(I22/G22,0))</f>
        <v>0</v>
      </c>
      <c r="L22" s="4" t="n">
        <v>3</v>
      </c>
      <c r="M22" s="4" t="n">
        <v>0</v>
      </c>
      <c r="N22" s="4" t="n">
        <v>3</v>
      </c>
      <c r="O22" s="4" t="n">
        <v>0</v>
      </c>
      <c r="P22" s="4" t="n">
        <v>0</v>
      </c>
      <c r="Q22" s="4" t="n">
        <f aca="false">O22+P22</f>
        <v>0</v>
      </c>
      <c r="R22" s="4" t="n">
        <v>0</v>
      </c>
      <c r="S22" s="4" t="n">
        <f aca="false">MAX(0,Q22-J22)</f>
        <v>0</v>
      </c>
      <c r="T22" s="4" t="n">
        <f aca="false">IF(G22&lt;=0,"n/a",ROUND((I22+O22)/G22,0))</f>
        <v>0</v>
      </c>
      <c r="U22" s="4" t="s">
        <v>437</v>
      </c>
      <c r="V22" s="4" t="s">
        <v>442</v>
      </c>
    </row>
    <row r="23" customFormat="false" ht="15" hidden="false" customHeight="false" outlineLevel="0" collapsed="false">
      <c r="A23" s="4" t="s">
        <v>486</v>
      </c>
      <c r="B23" s="4" t="s">
        <v>487</v>
      </c>
      <c r="C23" s="4" t="s">
        <v>488</v>
      </c>
      <c r="D23" s="4" t="n">
        <v>2</v>
      </c>
      <c r="E23" s="4" t="n">
        <v>2</v>
      </c>
      <c r="F23" s="6" t="n">
        <f aca="false">IF((D23+E23)=0,0,E23/(D23+E23))</f>
        <v>0.5</v>
      </c>
      <c r="G23" s="4" t="n">
        <v>0.27</v>
      </c>
      <c r="H23" s="4" t="n">
        <v>12</v>
      </c>
      <c r="I23" s="4" t="n">
        <v>12</v>
      </c>
      <c r="J23" s="4" t="n">
        <v>84</v>
      </c>
      <c r="K23" s="4" t="n">
        <f aca="false">IF(G23&lt;=0,"n/a",ROUND(I23/G23,0))</f>
        <v>44</v>
      </c>
      <c r="L23" s="4" t="n">
        <v>11</v>
      </c>
      <c r="M23" s="4" t="n">
        <v>18.4</v>
      </c>
      <c r="N23" s="4" t="n">
        <v>0</v>
      </c>
      <c r="O23" s="4" t="n">
        <v>0</v>
      </c>
      <c r="P23" s="4" t="n">
        <v>0</v>
      </c>
      <c r="Q23" s="4" t="n">
        <f aca="false">O23+P23</f>
        <v>0</v>
      </c>
      <c r="R23" s="4" t="n">
        <v>0</v>
      </c>
      <c r="S23" s="4" t="n">
        <f aca="false">MAX(0,Q23-J23)</f>
        <v>0</v>
      </c>
      <c r="T23" s="4" t="n">
        <f aca="false">IF(G23&lt;=0,"n/a",ROUND((I23+O23)/G23,0))</f>
        <v>44</v>
      </c>
      <c r="U23" s="4" t="s">
        <v>437</v>
      </c>
      <c r="V23" s="4" t="s">
        <v>446</v>
      </c>
    </row>
    <row r="24" customFormat="false" ht="15" hidden="false" customHeight="false" outlineLevel="0" collapsed="false">
      <c r="A24" s="4" t="s">
        <v>489</v>
      </c>
      <c r="B24" s="4" t="s">
        <v>490</v>
      </c>
      <c r="C24" s="4" t="s">
        <v>491</v>
      </c>
      <c r="D24" s="4" t="n">
        <v>3</v>
      </c>
      <c r="E24" s="4" t="n">
        <v>22</v>
      </c>
      <c r="F24" s="6" t="n">
        <f aca="false">IF((D24+E24)=0,0,E24/(D24+E24))</f>
        <v>0.88</v>
      </c>
      <c r="G24" s="4" t="n">
        <v>1.67</v>
      </c>
      <c r="H24" s="4" t="n">
        <v>75</v>
      </c>
      <c r="I24" s="4" t="n">
        <v>0</v>
      </c>
      <c r="J24" s="4" t="n">
        <v>524</v>
      </c>
      <c r="K24" s="4" t="n">
        <f aca="false">IF(G24&lt;=0,"n/a",ROUND(I24/G24,0))</f>
        <v>0</v>
      </c>
      <c r="L24" s="4" t="n">
        <v>75</v>
      </c>
      <c r="M24" s="4" t="n">
        <v>93</v>
      </c>
      <c r="N24" s="4" t="n">
        <v>0</v>
      </c>
      <c r="O24" s="4" t="n">
        <v>0</v>
      </c>
      <c r="P24" s="4" t="n">
        <v>0</v>
      </c>
      <c r="Q24" s="4" t="n">
        <f aca="false">O24+P24</f>
        <v>0</v>
      </c>
      <c r="R24" s="4" t="n">
        <v>0</v>
      </c>
      <c r="S24" s="4" t="n">
        <f aca="false">MAX(0,Q24-J24)</f>
        <v>0</v>
      </c>
      <c r="T24" s="4" t="n">
        <f aca="false">IF(G24&lt;=0,"n/a",ROUND((I24+O24)/G24,0))</f>
        <v>0</v>
      </c>
      <c r="U24" s="4" t="s">
        <v>479</v>
      </c>
      <c r="V24" s="4" t="s">
        <v>446</v>
      </c>
    </row>
    <row r="25" customFormat="false" ht="15" hidden="false" customHeight="false" outlineLevel="0" collapsed="false">
      <c r="A25" s="4" t="s">
        <v>44</v>
      </c>
      <c r="B25" s="4" t="s">
        <v>45</v>
      </c>
      <c r="C25" s="4" t="s">
        <v>46</v>
      </c>
      <c r="D25" s="4" t="n">
        <v>0</v>
      </c>
      <c r="E25" s="4" t="n">
        <v>2</v>
      </c>
      <c r="F25" s="6" t="n">
        <f aca="false">IF((D25+E25)=0,0,E25/(D25+E25))</f>
        <v>1</v>
      </c>
      <c r="G25" s="4" t="n">
        <v>0.13</v>
      </c>
      <c r="H25" s="4" t="n">
        <v>6</v>
      </c>
      <c r="I25" s="4" t="n">
        <v>0</v>
      </c>
      <c r="J25" s="4" t="n">
        <v>233</v>
      </c>
      <c r="K25" s="4" t="n">
        <f aca="false">IF(G25&lt;=0,"n/a",ROUND(I25/G25,0))</f>
        <v>0</v>
      </c>
      <c r="L25" s="4" t="n">
        <v>6</v>
      </c>
      <c r="M25" s="4" t="n">
        <v>0</v>
      </c>
      <c r="N25" s="4" t="n">
        <v>6</v>
      </c>
      <c r="O25" s="4" t="n">
        <v>2</v>
      </c>
      <c r="P25" s="4" t="n">
        <v>4</v>
      </c>
      <c r="Q25" s="4" t="n">
        <f aca="false">O25+P25</f>
        <v>6</v>
      </c>
      <c r="R25" s="4" t="n">
        <v>0</v>
      </c>
      <c r="S25" s="4" t="n">
        <f aca="false">MAX(0,Q25-J25)</f>
        <v>0</v>
      </c>
      <c r="T25" s="4" t="n">
        <f aca="false">IF(G25&lt;=0,"n/a",ROUND((I25+O25)/G25,0))</f>
        <v>15</v>
      </c>
      <c r="U25" s="4" t="s">
        <v>437</v>
      </c>
      <c r="V25" s="4" t="s">
        <v>438</v>
      </c>
    </row>
    <row r="26" customFormat="false" ht="15" hidden="false" customHeight="false" outlineLevel="0" collapsed="false">
      <c r="A26" s="4" t="s">
        <v>492</v>
      </c>
      <c r="B26" s="4" t="s">
        <v>493</v>
      </c>
      <c r="C26" s="4" t="s">
        <v>494</v>
      </c>
      <c r="D26" s="4" t="n">
        <v>0</v>
      </c>
      <c r="E26" s="4" t="n">
        <v>1</v>
      </c>
      <c r="F26" s="6" t="n">
        <f aca="false">IF((D26+E26)=0,0,E26/(D26+E26))</f>
        <v>1</v>
      </c>
      <c r="G26" s="4" t="n">
        <v>0.07</v>
      </c>
      <c r="H26" s="4" t="n">
        <v>3</v>
      </c>
      <c r="I26" s="4" t="n">
        <v>12</v>
      </c>
      <c r="J26" s="4" t="n">
        <v>29</v>
      </c>
      <c r="K26" s="4" t="n">
        <f aca="false">IF(G26&lt;=0,"n/a",ROUND(I26/G26,0))</f>
        <v>171</v>
      </c>
      <c r="L26" s="4" t="n">
        <v>3</v>
      </c>
      <c r="M26" s="4" t="n">
        <v>3</v>
      </c>
      <c r="N26" s="4" t="n">
        <v>0</v>
      </c>
      <c r="O26" s="4" t="n">
        <v>0</v>
      </c>
      <c r="P26" s="4" t="n">
        <v>0</v>
      </c>
      <c r="Q26" s="4" t="n">
        <f aca="false">O26+P26</f>
        <v>0</v>
      </c>
      <c r="R26" s="4" t="n">
        <v>0</v>
      </c>
      <c r="S26" s="4" t="n">
        <f aca="false">MAX(0,Q26-J26)</f>
        <v>0</v>
      </c>
      <c r="T26" s="4" t="n">
        <f aca="false">IF(G26&lt;=0,"n/a",ROUND((I26+O26)/G26,0))</f>
        <v>171</v>
      </c>
      <c r="U26" s="4" t="s">
        <v>437</v>
      </c>
      <c r="V26" s="4" t="s">
        <v>446</v>
      </c>
    </row>
    <row r="27" customFormat="false" ht="15" hidden="false" customHeight="false" outlineLevel="0" collapsed="false">
      <c r="A27" s="4" t="s">
        <v>495</v>
      </c>
      <c r="B27" s="4" t="s">
        <v>496</v>
      </c>
      <c r="C27" s="4" t="s">
        <v>497</v>
      </c>
      <c r="D27" s="4" t="n">
        <v>0</v>
      </c>
      <c r="E27" s="4" t="n">
        <v>2</v>
      </c>
      <c r="F27" s="6" t="n">
        <f aca="false">IF((D27+E27)=0,0,E27/(D27+E27))</f>
        <v>1</v>
      </c>
      <c r="G27" s="4" t="n">
        <v>0.13</v>
      </c>
      <c r="H27" s="4" t="n">
        <v>6</v>
      </c>
      <c r="I27" s="4" t="n">
        <v>0</v>
      </c>
      <c r="J27" s="4" t="n">
        <v>110</v>
      </c>
      <c r="K27" s="4" t="n">
        <f aca="false">IF(G27&lt;=0,"n/a",ROUND(I27/G27,0))</f>
        <v>0</v>
      </c>
      <c r="L27" s="4" t="n">
        <v>6</v>
      </c>
      <c r="M27" s="4" t="n">
        <v>21</v>
      </c>
      <c r="N27" s="4" t="n">
        <v>0</v>
      </c>
      <c r="O27" s="4" t="n">
        <v>0</v>
      </c>
      <c r="P27" s="4" t="n">
        <v>0</v>
      </c>
      <c r="Q27" s="4" t="n">
        <f aca="false">O27+P27</f>
        <v>0</v>
      </c>
      <c r="R27" s="4" t="n">
        <v>0</v>
      </c>
      <c r="S27" s="4" t="n">
        <f aca="false">MAX(0,Q27-J27)</f>
        <v>0</v>
      </c>
      <c r="T27" s="4" t="n">
        <f aca="false">IF(G27&lt;=0,"n/a",ROUND((I27+O27)/G27,0))</f>
        <v>0</v>
      </c>
      <c r="U27" s="4" t="s">
        <v>437</v>
      </c>
      <c r="V27" s="4" t="s">
        <v>446</v>
      </c>
    </row>
    <row r="28" customFormat="false" ht="15" hidden="false" customHeight="false" outlineLevel="0" collapsed="false">
      <c r="A28" s="4" t="s">
        <v>47</v>
      </c>
      <c r="B28" s="4" t="s">
        <v>48</v>
      </c>
      <c r="C28" s="4" t="s">
        <v>49</v>
      </c>
      <c r="D28" s="4" t="n">
        <v>0</v>
      </c>
      <c r="E28" s="4" t="n">
        <v>30</v>
      </c>
      <c r="F28" s="6" t="n">
        <f aca="false">IF((D28+E28)=0,0,E28/(D28+E28))</f>
        <v>1</v>
      </c>
      <c r="G28" s="4" t="n">
        <v>2</v>
      </c>
      <c r="H28" s="4" t="n">
        <v>90</v>
      </c>
      <c r="I28" s="4" t="n">
        <v>0</v>
      </c>
      <c r="J28" s="4" t="n">
        <v>193</v>
      </c>
      <c r="K28" s="4" t="n">
        <f aca="false">IF(G28&lt;=0,"n/a",ROUND(I28/G28,0))</f>
        <v>0</v>
      </c>
      <c r="L28" s="4" t="n">
        <v>90</v>
      </c>
      <c r="M28" s="4" t="n">
        <v>48</v>
      </c>
      <c r="N28" s="4" t="n">
        <v>42</v>
      </c>
      <c r="O28" s="4" t="n">
        <v>13</v>
      </c>
      <c r="P28" s="4" t="n">
        <v>0</v>
      </c>
      <c r="Q28" s="4" t="n">
        <f aca="false">O28+P28</f>
        <v>13</v>
      </c>
      <c r="R28" s="4" t="n">
        <v>0</v>
      </c>
      <c r="S28" s="4" t="n">
        <f aca="false">MAX(0,Q28-J28)</f>
        <v>0</v>
      </c>
      <c r="T28" s="4" t="n">
        <f aca="false">IF(G28&lt;=0,"n/a",ROUND((I28+O28)/G28,0))</f>
        <v>7</v>
      </c>
      <c r="U28" s="4" t="s">
        <v>437</v>
      </c>
      <c r="V28" s="4" t="s">
        <v>448</v>
      </c>
    </row>
    <row r="29" customFormat="false" ht="15" hidden="false" customHeight="false" outlineLevel="0" collapsed="false">
      <c r="A29" s="4" t="s">
        <v>498</v>
      </c>
      <c r="B29" s="4" t="s">
        <v>499</v>
      </c>
      <c r="C29" s="4" t="s">
        <v>500</v>
      </c>
      <c r="D29" s="4" t="n">
        <v>11</v>
      </c>
      <c r="E29" s="4" t="n">
        <v>6</v>
      </c>
      <c r="F29" s="6" t="n">
        <f aca="false">IF((D29+E29)=0,0,E29/(D29+E29))</f>
        <v>0.352941176470588</v>
      </c>
      <c r="G29" s="4" t="n">
        <v>1.13</v>
      </c>
      <c r="H29" s="4" t="n">
        <v>51</v>
      </c>
      <c r="I29" s="4" t="n">
        <v>15</v>
      </c>
      <c r="J29" s="4" t="n">
        <v>530</v>
      </c>
      <c r="K29" s="4" t="n">
        <f aca="false">IF(G29&lt;=0,"n/a",ROUND(I29/G29,0))</f>
        <v>13</v>
      </c>
      <c r="L29" s="4" t="n">
        <v>37</v>
      </c>
      <c r="M29" s="4" t="n">
        <v>54</v>
      </c>
      <c r="N29" s="4" t="n">
        <v>0</v>
      </c>
      <c r="O29" s="4" t="n">
        <v>0</v>
      </c>
      <c r="P29" s="4" t="n">
        <v>0</v>
      </c>
      <c r="Q29" s="4" t="n">
        <f aca="false">O29+P29</f>
        <v>0</v>
      </c>
      <c r="R29" s="4" t="n">
        <v>0</v>
      </c>
      <c r="S29" s="4" t="n">
        <f aca="false">MAX(0,Q29-J29)</f>
        <v>0</v>
      </c>
      <c r="T29" s="4" t="n">
        <f aca="false">IF(G29&lt;=0,"n/a",ROUND((I29+O29)/G29,0))</f>
        <v>13</v>
      </c>
      <c r="U29" s="4" t="s">
        <v>447</v>
      </c>
      <c r="V29" s="4" t="s">
        <v>446</v>
      </c>
    </row>
    <row r="30" customFormat="false" ht="15" hidden="false" customHeight="false" outlineLevel="0" collapsed="false">
      <c r="A30" s="4" t="s">
        <v>501</v>
      </c>
      <c r="B30" s="4" t="s">
        <v>502</v>
      </c>
      <c r="C30" s="4" t="s">
        <v>503</v>
      </c>
      <c r="D30" s="4" t="n">
        <v>0</v>
      </c>
      <c r="E30" s="4" t="n">
        <v>3</v>
      </c>
      <c r="F30" s="6" t="n">
        <f aca="false">IF((D30+E30)=0,0,E30/(D30+E30))</f>
        <v>1</v>
      </c>
      <c r="G30" s="4" t="n">
        <v>0.2</v>
      </c>
      <c r="H30" s="4" t="n">
        <v>9</v>
      </c>
      <c r="I30" s="4" t="n">
        <v>0</v>
      </c>
      <c r="J30" s="4" t="n">
        <v>83</v>
      </c>
      <c r="K30" s="4" t="n">
        <f aca="false">IF(G30&lt;=0,"n/a",ROUND(I30/G30,0))</f>
        <v>0</v>
      </c>
      <c r="L30" s="4" t="n">
        <v>9</v>
      </c>
      <c r="M30" s="4" t="n">
        <v>21</v>
      </c>
      <c r="N30" s="4" t="n">
        <v>0</v>
      </c>
      <c r="O30" s="4" t="n">
        <v>0</v>
      </c>
      <c r="P30" s="4" t="n">
        <v>0</v>
      </c>
      <c r="Q30" s="4" t="n">
        <f aca="false">O30+P30</f>
        <v>0</v>
      </c>
      <c r="R30" s="4" t="n">
        <v>0</v>
      </c>
      <c r="S30" s="4" t="n">
        <f aca="false">MAX(0,Q30-J30)</f>
        <v>0</v>
      </c>
      <c r="T30" s="4" t="n">
        <f aca="false">IF(G30&lt;=0,"n/a",ROUND((I30+O30)/G30,0))</f>
        <v>0</v>
      </c>
      <c r="U30" s="4" t="s">
        <v>437</v>
      </c>
      <c r="V30" s="4" t="s">
        <v>446</v>
      </c>
    </row>
    <row r="31" customFormat="false" ht="15" hidden="false" customHeight="false" outlineLevel="0" collapsed="false">
      <c r="A31" s="4" t="s">
        <v>504</v>
      </c>
      <c r="B31" s="4" t="s">
        <v>505</v>
      </c>
      <c r="C31" s="4" t="s">
        <v>506</v>
      </c>
      <c r="D31" s="4" t="n">
        <v>1</v>
      </c>
      <c r="E31" s="4" t="n">
        <v>0</v>
      </c>
      <c r="F31" s="6" t="n">
        <f aca="false">IF((D31+E31)=0,0,E31/(D31+E31))</f>
        <v>0</v>
      </c>
      <c r="G31" s="4" t="n">
        <v>0.07</v>
      </c>
      <c r="H31" s="4" t="n">
        <v>3</v>
      </c>
      <c r="I31" s="4" t="n">
        <v>2</v>
      </c>
      <c r="J31" s="4" t="n">
        <v>26</v>
      </c>
      <c r="K31" s="4" t="n">
        <f aca="false">IF(G31&lt;=0,"n/a",ROUND(I31/G31,0))</f>
        <v>29</v>
      </c>
      <c r="L31" s="4" t="n">
        <v>3</v>
      </c>
      <c r="M31" s="4" t="n">
        <v>23.1</v>
      </c>
      <c r="N31" s="4" t="n">
        <v>0</v>
      </c>
      <c r="O31" s="4" t="n">
        <v>0</v>
      </c>
      <c r="P31" s="4" t="n">
        <v>0</v>
      </c>
      <c r="Q31" s="4" t="n">
        <f aca="false">O31+P31</f>
        <v>0</v>
      </c>
      <c r="R31" s="4" t="n">
        <v>0</v>
      </c>
      <c r="S31" s="4" t="n">
        <f aca="false">MAX(0,Q31-J31)</f>
        <v>0</v>
      </c>
      <c r="T31" s="4" t="n">
        <f aca="false">IF(G31&lt;=0,"n/a",ROUND((I31+O31)/G31,0))</f>
        <v>29</v>
      </c>
      <c r="U31" s="4" t="s">
        <v>437</v>
      </c>
      <c r="V31" s="4" t="s">
        <v>446</v>
      </c>
    </row>
    <row r="32" customFormat="false" ht="15" hidden="false" customHeight="false" outlineLevel="0" collapsed="false">
      <c r="A32" s="4" t="s">
        <v>50</v>
      </c>
      <c r="B32" s="4" t="s">
        <v>51</v>
      </c>
      <c r="C32" s="4" t="s">
        <v>52</v>
      </c>
      <c r="D32" s="4" t="n">
        <v>5</v>
      </c>
      <c r="E32" s="4" t="n">
        <v>29</v>
      </c>
      <c r="F32" s="6" t="n">
        <f aca="false">IF((D32+E32)=0,0,E32/(D32+E32))</f>
        <v>0.852941176470588</v>
      </c>
      <c r="G32" s="4" t="n">
        <v>2.27</v>
      </c>
      <c r="H32" s="4" t="n">
        <v>102</v>
      </c>
      <c r="I32" s="4" t="n">
        <v>0</v>
      </c>
      <c r="J32" s="4" t="n">
        <v>221</v>
      </c>
      <c r="K32" s="4" t="n">
        <f aca="false">IF(G32&lt;=0,"n/a",ROUND(I32/G32,0))</f>
        <v>0</v>
      </c>
      <c r="L32" s="4" t="n">
        <v>102</v>
      </c>
      <c r="M32" s="4" t="n">
        <v>70.4</v>
      </c>
      <c r="N32" s="4" t="n">
        <v>31.6</v>
      </c>
      <c r="O32" s="4" t="n">
        <v>10</v>
      </c>
      <c r="P32" s="4" t="n">
        <v>4</v>
      </c>
      <c r="Q32" s="4" t="n">
        <f aca="false">O32+P32</f>
        <v>14</v>
      </c>
      <c r="R32" s="4" t="n">
        <v>0</v>
      </c>
      <c r="S32" s="4" t="n">
        <f aca="false">MAX(0,Q32-J32)</f>
        <v>0</v>
      </c>
      <c r="T32" s="4" t="n">
        <f aca="false">IF(G32&lt;=0,"n/a",ROUND((I32+O32)/G32,0))</f>
        <v>4</v>
      </c>
      <c r="U32" s="4" t="s">
        <v>479</v>
      </c>
      <c r="V32" s="4" t="s">
        <v>438</v>
      </c>
    </row>
    <row r="33" customFormat="false" ht="15" hidden="false" customHeight="false" outlineLevel="0" collapsed="false">
      <c r="A33" s="4" t="s">
        <v>507</v>
      </c>
      <c r="B33" s="4" t="s">
        <v>508</v>
      </c>
      <c r="C33" s="4" t="s">
        <v>509</v>
      </c>
      <c r="D33" s="4" t="n">
        <v>0</v>
      </c>
      <c r="E33" s="4" t="n">
        <v>9</v>
      </c>
      <c r="F33" s="6" t="n">
        <f aca="false">IF((D33+E33)=0,0,E33/(D33+E33))</f>
        <v>1</v>
      </c>
      <c r="G33" s="4" t="n">
        <v>0.6</v>
      </c>
      <c r="H33" s="4" t="n">
        <v>27</v>
      </c>
      <c r="I33" s="4" t="n">
        <v>0</v>
      </c>
      <c r="J33" s="4" t="n">
        <v>21</v>
      </c>
      <c r="K33" s="4" t="n">
        <f aca="false">IF(G33&lt;=0,"n/a",ROUND(I33/G33,0))</f>
        <v>0</v>
      </c>
      <c r="L33" s="4" t="n">
        <v>27</v>
      </c>
      <c r="M33" s="4" t="n">
        <v>40.6</v>
      </c>
      <c r="N33" s="4" t="n">
        <v>0</v>
      </c>
      <c r="O33" s="4" t="n">
        <v>0</v>
      </c>
      <c r="P33" s="4" t="n">
        <v>0</v>
      </c>
      <c r="Q33" s="4" t="n">
        <f aca="false">O33+P33</f>
        <v>0</v>
      </c>
      <c r="R33" s="4" t="n">
        <v>0</v>
      </c>
      <c r="S33" s="4" t="n">
        <f aca="false">MAX(0,Q33-J33)</f>
        <v>0</v>
      </c>
      <c r="T33" s="4" t="n">
        <f aca="false">IF(G33&lt;=0,"n/a",ROUND((I33+O33)/G33,0))</f>
        <v>0</v>
      </c>
      <c r="U33" s="4" t="s">
        <v>437</v>
      </c>
      <c r="V33" s="4" t="s">
        <v>446</v>
      </c>
    </row>
    <row r="34" customFormat="false" ht="15" hidden="false" customHeight="false" outlineLevel="0" collapsed="false">
      <c r="A34" s="4" t="s">
        <v>54</v>
      </c>
      <c r="B34" s="4" t="s">
        <v>55</v>
      </c>
      <c r="C34" s="4" t="s">
        <v>56</v>
      </c>
      <c r="D34" s="4" t="n">
        <v>12</v>
      </c>
      <c r="E34" s="4" t="n">
        <v>0</v>
      </c>
      <c r="F34" s="6" t="n">
        <f aca="false">IF((D34+E34)=0,0,E34/(D34+E34))</f>
        <v>0</v>
      </c>
      <c r="G34" s="4" t="n">
        <v>0.8</v>
      </c>
      <c r="H34" s="4" t="n">
        <v>36</v>
      </c>
      <c r="I34" s="4" t="n">
        <v>28</v>
      </c>
      <c r="J34" s="4" t="n">
        <v>296</v>
      </c>
      <c r="K34" s="4" t="n">
        <f aca="false">IF(G34&lt;=0,"n/a",ROUND(I34/G34,0))</f>
        <v>35</v>
      </c>
      <c r="L34" s="4" t="n">
        <v>28</v>
      </c>
      <c r="M34" s="4" t="n">
        <v>15.1</v>
      </c>
      <c r="N34" s="4" t="n">
        <v>12.9</v>
      </c>
      <c r="O34" s="4" t="n">
        <v>3</v>
      </c>
      <c r="P34" s="4" t="n">
        <v>3</v>
      </c>
      <c r="Q34" s="4" t="n">
        <f aca="false">O34+P34</f>
        <v>6</v>
      </c>
      <c r="R34" s="4" t="n">
        <v>0</v>
      </c>
      <c r="S34" s="4" t="n">
        <f aca="false">MAX(0,Q34-J34)</f>
        <v>0</v>
      </c>
      <c r="T34" s="4" t="n">
        <f aca="false">IF(G34&lt;=0,"n/a",ROUND((I34+O34)/G34,0))</f>
        <v>39</v>
      </c>
      <c r="U34" s="4" t="s">
        <v>510</v>
      </c>
      <c r="V34" s="4" t="s">
        <v>438</v>
      </c>
    </row>
    <row r="35" customFormat="false" ht="15" hidden="false" customHeight="false" outlineLevel="0" collapsed="false">
      <c r="A35" s="4" t="s">
        <v>511</v>
      </c>
      <c r="B35" s="4" t="s">
        <v>512</v>
      </c>
      <c r="C35" s="4" t="s">
        <v>513</v>
      </c>
      <c r="D35" s="4" t="n">
        <v>22</v>
      </c>
      <c r="E35" s="4" t="n">
        <v>5</v>
      </c>
      <c r="F35" s="6" t="n">
        <f aca="false">IF((D35+E35)=0,0,E35/(D35+E35))</f>
        <v>0.185185185185185</v>
      </c>
      <c r="G35" s="4" t="n">
        <v>1.8</v>
      </c>
      <c r="H35" s="4" t="n">
        <v>81</v>
      </c>
      <c r="I35" s="4" t="n">
        <v>49</v>
      </c>
      <c r="J35" s="4" t="n">
        <v>361</v>
      </c>
      <c r="K35" s="4" t="n">
        <f aca="false">IF(G35&lt;=0,"n/a",ROUND(I35/G35,0))</f>
        <v>27</v>
      </c>
      <c r="L35" s="4" t="n">
        <v>49</v>
      </c>
      <c r="M35" s="4" t="n">
        <v>105</v>
      </c>
      <c r="N35" s="4" t="n">
        <v>0</v>
      </c>
      <c r="O35" s="4" t="n">
        <v>0</v>
      </c>
      <c r="P35" s="4" t="n">
        <v>0</v>
      </c>
      <c r="Q35" s="4" t="n">
        <f aca="false">O35+P35</f>
        <v>0</v>
      </c>
      <c r="R35" s="4" t="n">
        <v>0</v>
      </c>
      <c r="S35" s="4" t="n">
        <f aca="false">MAX(0,Q35-J35)</f>
        <v>0</v>
      </c>
      <c r="T35" s="4" t="n">
        <f aca="false">IF(G35&lt;=0,"n/a",ROUND((I35+O35)/G35,0))</f>
        <v>27</v>
      </c>
      <c r="U35" s="4" t="s">
        <v>447</v>
      </c>
      <c r="V35" s="4" t="s">
        <v>446</v>
      </c>
    </row>
    <row r="36" customFormat="false" ht="15" hidden="false" customHeight="false" outlineLevel="0" collapsed="false">
      <c r="A36" s="4" t="s">
        <v>514</v>
      </c>
      <c r="B36" s="4" t="s">
        <v>515</v>
      </c>
      <c r="C36" s="4" t="s">
        <v>516</v>
      </c>
      <c r="D36" s="4" t="n">
        <v>0</v>
      </c>
      <c r="E36" s="4" t="n">
        <v>1</v>
      </c>
      <c r="F36" s="6" t="n">
        <f aca="false">IF((D36+E36)=0,0,E36/(D36+E36))</f>
        <v>1</v>
      </c>
      <c r="G36" s="4" t="n">
        <v>0.07</v>
      </c>
      <c r="H36" s="4" t="n">
        <v>3</v>
      </c>
      <c r="I36" s="4" t="n">
        <v>15</v>
      </c>
      <c r="J36" s="4" t="n">
        <v>194</v>
      </c>
      <c r="K36" s="4" t="n">
        <f aca="false">IF(G36&lt;=0,"n/a",ROUND(I36/G36,0))</f>
        <v>214</v>
      </c>
      <c r="L36" s="4" t="n">
        <v>3</v>
      </c>
      <c r="M36" s="4" t="n">
        <v>25.5</v>
      </c>
      <c r="N36" s="4" t="n">
        <v>0</v>
      </c>
      <c r="O36" s="4" t="n">
        <v>0</v>
      </c>
      <c r="P36" s="4" t="n">
        <v>0</v>
      </c>
      <c r="Q36" s="4" t="n">
        <f aca="false">O36+P36</f>
        <v>0</v>
      </c>
      <c r="R36" s="4" t="n">
        <v>0</v>
      </c>
      <c r="S36" s="4" t="n">
        <f aca="false">MAX(0,Q36-J36)</f>
        <v>0</v>
      </c>
      <c r="T36" s="4" t="n">
        <f aca="false">IF(G36&lt;=0,"n/a",ROUND((I36+O36)/G36,0))</f>
        <v>214</v>
      </c>
      <c r="U36" s="4" t="s">
        <v>437</v>
      </c>
      <c r="V36" s="4" t="s">
        <v>446</v>
      </c>
    </row>
    <row r="37" customFormat="false" ht="15" hidden="false" customHeight="false" outlineLevel="0" collapsed="false">
      <c r="A37" s="4" t="s">
        <v>57</v>
      </c>
      <c r="B37" s="4" t="s">
        <v>58</v>
      </c>
      <c r="C37" s="4" t="s">
        <v>59</v>
      </c>
      <c r="D37" s="4" t="n">
        <v>4</v>
      </c>
      <c r="E37" s="4" t="n">
        <v>3</v>
      </c>
      <c r="F37" s="6" t="n">
        <f aca="false">IF((D37+E37)=0,0,E37/(D37+E37))</f>
        <v>0.428571428571429</v>
      </c>
      <c r="G37" s="4" t="n">
        <v>0.47</v>
      </c>
      <c r="H37" s="4" t="n">
        <v>21</v>
      </c>
      <c r="I37" s="4" t="n">
        <v>20</v>
      </c>
      <c r="J37" s="4" t="n">
        <v>538</v>
      </c>
      <c r="K37" s="4" t="n">
        <f aca="false">IF(G37&lt;=0,"n/a",ROUND(I37/G37,0))</f>
        <v>43</v>
      </c>
      <c r="L37" s="4" t="n">
        <v>20</v>
      </c>
      <c r="M37" s="4" t="n">
        <v>14.3</v>
      </c>
      <c r="N37" s="4" t="n">
        <v>5.7</v>
      </c>
      <c r="O37" s="4" t="n">
        <v>3</v>
      </c>
      <c r="P37" s="4" t="n">
        <v>0</v>
      </c>
      <c r="Q37" s="4" t="n">
        <f aca="false">O37+P37</f>
        <v>3</v>
      </c>
      <c r="R37" s="4" t="n">
        <v>0</v>
      </c>
      <c r="S37" s="4" t="n">
        <f aca="false">MAX(0,Q37-J37)</f>
        <v>0</v>
      </c>
      <c r="T37" s="4" t="n">
        <f aca="false">IF(G37&lt;=0,"n/a",ROUND((I37+O37)/G37,0))</f>
        <v>49</v>
      </c>
      <c r="U37" s="4" t="s">
        <v>447</v>
      </c>
      <c r="V37" s="4" t="s">
        <v>448</v>
      </c>
    </row>
    <row r="38" customFormat="false" ht="15" hidden="false" customHeight="false" outlineLevel="0" collapsed="false">
      <c r="A38" s="4" t="s">
        <v>517</v>
      </c>
      <c r="B38" s="4" t="s">
        <v>518</v>
      </c>
      <c r="C38" s="4" t="s">
        <v>519</v>
      </c>
      <c r="D38" s="4" t="n">
        <v>0</v>
      </c>
      <c r="E38" s="4" t="n">
        <v>6</v>
      </c>
      <c r="F38" s="6" t="n">
        <f aca="false">IF((D38+E38)=0,0,E38/(D38+E38))</f>
        <v>1</v>
      </c>
      <c r="G38" s="4" t="n">
        <v>0.4</v>
      </c>
      <c r="H38" s="4" t="n">
        <v>18</v>
      </c>
      <c r="I38" s="4" t="n">
        <v>1</v>
      </c>
      <c r="J38" s="4" t="n">
        <v>140</v>
      </c>
      <c r="K38" s="4" t="n">
        <f aca="false">IF(G38&lt;=0,"n/a",ROUND(I38/G38,0))</f>
        <v>3</v>
      </c>
      <c r="L38" s="4" t="n">
        <v>18</v>
      </c>
      <c r="M38" s="4" t="n">
        <v>20.1</v>
      </c>
      <c r="N38" s="4" t="n">
        <v>0</v>
      </c>
      <c r="O38" s="4" t="n">
        <v>0</v>
      </c>
      <c r="P38" s="4" t="n">
        <v>0</v>
      </c>
      <c r="Q38" s="4" t="n">
        <f aca="false">O38+P38</f>
        <v>0</v>
      </c>
      <c r="R38" s="4" t="n">
        <v>0</v>
      </c>
      <c r="S38" s="4" t="n">
        <f aca="false">MAX(0,Q38-J38)</f>
        <v>0</v>
      </c>
      <c r="T38" s="4" t="n">
        <f aca="false">IF(G38&lt;=0,"n/a",ROUND((I38+O38)/G38,0))</f>
        <v>3</v>
      </c>
      <c r="U38" s="4" t="s">
        <v>437</v>
      </c>
      <c r="V38" s="4" t="s">
        <v>446</v>
      </c>
    </row>
    <row r="39" customFormat="false" ht="15" hidden="false" customHeight="false" outlineLevel="0" collapsed="false">
      <c r="A39" s="4" t="s">
        <v>60</v>
      </c>
      <c r="B39" s="4" t="s">
        <v>61</v>
      </c>
      <c r="C39" s="4" t="s">
        <v>62</v>
      </c>
      <c r="D39" s="4" t="n">
        <v>0</v>
      </c>
      <c r="E39" s="4" t="n">
        <v>8</v>
      </c>
      <c r="F39" s="6" t="n">
        <f aca="false">IF((D39+E39)=0,0,E39/(D39+E39))</f>
        <v>1</v>
      </c>
      <c r="G39" s="4" t="n">
        <v>0.53</v>
      </c>
      <c r="H39" s="4" t="n">
        <v>24</v>
      </c>
      <c r="I39" s="4" t="n">
        <v>0</v>
      </c>
      <c r="J39" s="4" t="n">
        <v>436</v>
      </c>
      <c r="K39" s="4" t="n">
        <f aca="false">IF(G39&lt;=0,"n/a",ROUND(I39/G39,0))</f>
        <v>0</v>
      </c>
      <c r="L39" s="4" t="n">
        <v>24</v>
      </c>
      <c r="M39" s="4" t="n">
        <v>21</v>
      </c>
      <c r="N39" s="4" t="n">
        <v>3</v>
      </c>
      <c r="O39" s="4" t="n">
        <v>4</v>
      </c>
      <c r="P39" s="4" t="n">
        <v>0</v>
      </c>
      <c r="Q39" s="4" t="n">
        <f aca="false">O39+P39</f>
        <v>4</v>
      </c>
      <c r="R39" s="4" t="n">
        <v>0</v>
      </c>
      <c r="S39" s="4" t="n">
        <f aca="false">MAX(0,Q39-J39)</f>
        <v>0</v>
      </c>
      <c r="T39" s="4" t="n">
        <f aca="false">IF(G39&lt;=0,"n/a",ROUND((I39+O39)/G39,0))</f>
        <v>8</v>
      </c>
      <c r="U39" s="4" t="s">
        <v>437</v>
      </c>
      <c r="V39" s="4" t="s">
        <v>448</v>
      </c>
    </row>
    <row r="40" customFormat="false" ht="15" hidden="false" customHeight="false" outlineLevel="0" collapsed="false">
      <c r="A40" s="4" t="s">
        <v>520</v>
      </c>
      <c r="B40" s="4" t="s">
        <v>521</v>
      </c>
      <c r="C40" s="4" t="s">
        <v>522</v>
      </c>
      <c r="D40" s="4" t="n">
        <v>15</v>
      </c>
      <c r="E40" s="4" t="n">
        <v>0</v>
      </c>
      <c r="F40" s="6" t="n">
        <f aca="false">IF((D40+E40)=0,0,E40/(D40+E40))</f>
        <v>0</v>
      </c>
      <c r="G40" s="4" t="n">
        <v>1</v>
      </c>
      <c r="H40" s="4" t="n">
        <v>45</v>
      </c>
      <c r="I40" s="4" t="n">
        <v>97</v>
      </c>
      <c r="J40" s="4" t="n">
        <v>704</v>
      </c>
      <c r="K40" s="4" t="n">
        <f aca="false">IF(G40&lt;=0,"n/a",ROUND(I40/G40,0))</f>
        <v>97</v>
      </c>
      <c r="L40" s="4" t="n">
        <v>15</v>
      </c>
      <c r="M40" s="4" t="n">
        <v>38.9</v>
      </c>
      <c r="N40" s="4" t="n">
        <v>0</v>
      </c>
      <c r="O40" s="4" t="n">
        <v>0</v>
      </c>
      <c r="P40" s="4" t="n">
        <v>0</v>
      </c>
      <c r="Q40" s="4" t="n">
        <f aca="false">O40+P40</f>
        <v>0</v>
      </c>
      <c r="R40" s="4" t="n">
        <v>0</v>
      </c>
      <c r="S40" s="4" t="n">
        <f aca="false">MAX(0,Q40-J40)</f>
        <v>0</v>
      </c>
      <c r="T40" s="4" t="n">
        <f aca="false">IF(G40&lt;=0,"n/a",ROUND((I40+O40)/G40,0))</f>
        <v>97</v>
      </c>
      <c r="U40" s="4" t="s">
        <v>510</v>
      </c>
      <c r="V40" s="4" t="s">
        <v>446</v>
      </c>
    </row>
    <row r="41" customFormat="false" ht="15" hidden="false" customHeight="false" outlineLevel="0" collapsed="false">
      <c r="A41" s="4" t="s">
        <v>523</v>
      </c>
      <c r="B41" s="4" t="s">
        <v>524</v>
      </c>
      <c r="C41" s="4" t="s">
        <v>525</v>
      </c>
      <c r="D41" s="4" t="n">
        <v>1</v>
      </c>
      <c r="E41" s="4" t="n">
        <v>1</v>
      </c>
      <c r="F41" s="6" t="n">
        <f aca="false">IF((D41+E41)=0,0,E41/(D41+E41))</f>
        <v>0.5</v>
      </c>
      <c r="G41" s="4" t="n">
        <v>0.13</v>
      </c>
      <c r="H41" s="4" t="n">
        <v>6</v>
      </c>
      <c r="I41" s="4" t="n">
        <v>11</v>
      </c>
      <c r="J41" s="4" t="n">
        <v>94</v>
      </c>
      <c r="K41" s="4" t="n">
        <f aca="false">IF(G41&lt;=0,"n/a",ROUND(I41/G41,0))</f>
        <v>85</v>
      </c>
      <c r="L41" s="4" t="n">
        <v>5</v>
      </c>
      <c r="M41" s="4" t="n">
        <v>22.6</v>
      </c>
      <c r="N41" s="4" t="n">
        <v>0</v>
      </c>
      <c r="O41" s="4" t="n">
        <v>0</v>
      </c>
      <c r="P41" s="4" t="n">
        <v>0</v>
      </c>
      <c r="Q41" s="4" t="n">
        <f aca="false">O41+P41</f>
        <v>0</v>
      </c>
      <c r="R41" s="4" t="n">
        <v>0</v>
      </c>
      <c r="S41" s="4" t="n">
        <f aca="false">MAX(0,Q41-J41)</f>
        <v>0</v>
      </c>
      <c r="T41" s="4" t="n">
        <f aca="false">IF(G41&lt;=0,"n/a",ROUND((I41+O41)/G41,0))</f>
        <v>85</v>
      </c>
      <c r="U41" s="4" t="s">
        <v>437</v>
      </c>
      <c r="V41" s="4" t="s">
        <v>446</v>
      </c>
    </row>
    <row r="42" customFormat="false" ht="15" hidden="false" customHeight="false" outlineLevel="0" collapsed="false">
      <c r="A42" s="4" t="s">
        <v>526</v>
      </c>
      <c r="B42" s="4" t="s">
        <v>527</v>
      </c>
      <c r="C42" s="4" t="s">
        <v>528</v>
      </c>
      <c r="D42" s="4" t="n">
        <v>0</v>
      </c>
      <c r="E42" s="4" t="n">
        <v>4</v>
      </c>
      <c r="F42" s="6" t="n">
        <f aca="false">IF((D42+E42)=0,0,E42/(D42+E42))</f>
        <v>1</v>
      </c>
      <c r="G42" s="4" t="n">
        <v>0.27</v>
      </c>
      <c r="H42" s="4" t="n">
        <v>12</v>
      </c>
      <c r="I42" s="4" t="n">
        <v>12</v>
      </c>
      <c r="J42" s="4" t="n">
        <v>551</v>
      </c>
      <c r="K42" s="4" t="n">
        <f aca="false">IF(G42&lt;=0,"n/a",ROUND(I42/G42,0))</f>
        <v>44</v>
      </c>
      <c r="L42" s="4" t="n">
        <v>11</v>
      </c>
      <c r="M42" s="4" t="n">
        <v>20.8</v>
      </c>
      <c r="N42" s="4" t="n">
        <v>0</v>
      </c>
      <c r="O42" s="4" t="n">
        <v>0</v>
      </c>
      <c r="P42" s="4" t="n">
        <v>0</v>
      </c>
      <c r="Q42" s="4" t="n">
        <f aca="false">O42+P42</f>
        <v>0</v>
      </c>
      <c r="R42" s="4" t="n">
        <v>0</v>
      </c>
      <c r="S42" s="4" t="n">
        <f aca="false">MAX(0,Q42-J42)</f>
        <v>0</v>
      </c>
      <c r="T42" s="4" t="n">
        <f aca="false">IF(G42&lt;=0,"n/a",ROUND((I42+O42)/G42,0))</f>
        <v>44</v>
      </c>
      <c r="U42" s="4" t="s">
        <v>437</v>
      </c>
      <c r="V42" s="4" t="s">
        <v>446</v>
      </c>
    </row>
    <row r="43" customFormat="false" ht="15" hidden="false" customHeight="false" outlineLevel="0" collapsed="false">
      <c r="A43" s="4" t="s">
        <v>529</v>
      </c>
      <c r="B43" s="4" t="s">
        <v>530</v>
      </c>
      <c r="C43" s="4" t="s">
        <v>531</v>
      </c>
      <c r="D43" s="4" t="n">
        <v>1</v>
      </c>
      <c r="E43" s="4" t="n">
        <v>1</v>
      </c>
      <c r="F43" s="6" t="n">
        <f aca="false">IF((D43+E43)=0,0,E43/(D43+E43))</f>
        <v>0.5</v>
      </c>
      <c r="G43" s="4" t="n">
        <v>0.13</v>
      </c>
      <c r="H43" s="4" t="n">
        <v>6</v>
      </c>
      <c r="I43" s="4" t="n">
        <v>11</v>
      </c>
      <c r="J43" s="4" t="n">
        <v>499</v>
      </c>
      <c r="K43" s="4" t="n">
        <f aca="false">IF(G43&lt;=0,"n/a",ROUND(I43/G43,0))</f>
        <v>85</v>
      </c>
      <c r="L43" s="4" t="n">
        <v>5</v>
      </c>
      <c r="M43" s="4" t="n">
        <v>29.1</v>
      </c>
      <c r="N43" s="4" t="n">
        <v>0</v>
      </c>
      <c r="O43" s="4" t="n">
        <v>0</v>
      </c>
      <c r="P43" s="4" t="n">
        <v>0</v>
      </c>
      <c r="Q43" s="4" t="n">
        <f aca="false">O43+P43</f>
        <v>0</v>
      </c>
      <c r="R43" s="4" t="n">
        <v>0</v>
      </c>
      <c r="S43" s="4" t="n">
        <f aca="false">MAX(0,Q43-J43)</f>
        <v>0</v>
      </c>
      <c r="T43" s="4" t="n">
        <f aca="false">IF(G43&lt;=0,"n/a",ROUND((I43+O43)/G43,0))</f>
        <v>85</v>
      </c>
      <c r="U43" s="4" t="s">
        <v>437</v>
      </c>
      <c r="V43" s="4" t="s">
        <v>446</v>
      </c>
    </row>
    <row r="44" customFormat="false" ht="15" hidden="false" customHeight="false" outlineLevel="0" collapsed="false">
      <c r="A44" s="4" t="s">
        <v>532</v>
      </c>
      <c r="B44" s="4" t="s">
        <v>533</v>
      </c>
      <c r="C44" s="4" t="s">
        <v>534</v>
      </c>
      <c r="D44" s="4" t="n">
        <v>7</v>
      </c>
      <c r="E44" s="4" t="n">
        <v>0</v>
      </c>
      <c r="F44" s="6" t="n">
        <f aca="false">IF((D44+E44)=0,0,E44/(D44+E44))</f>
        <v>0</v>
      </c>
      <c r="G44" s="4" t="n">
        <v>0.47</v>
      </c>
      <c r="H44" s="4" t="n">
        <v>21</v>
      </c>
      <c r="I44" s="4" t="n">
        <v>50</v>
      </c>
      <c r="J44" s="4" t="n">
        <v>508</v>
      </c>
      <c r="K44" s="4" t="n">
        <f aca="false">IF(G44&lt;=0,"n/a",ROUND(I44/G44,0))</f>
        <v>106</v>
      </c>
      <c r="L44" s="4" t="n">
        <v>10</v>
      </c>
      <c r="M44" s="4" t="n">
        <v>12.4</v>
      </c>
      <c r="N44" s="4" t="n">
        <v>0</v>
      </c>
      <c r="O44" s="4" t="n">
        <v>0</v>
      </c>
      <c r="P44" s="4" t="n">
        <v>0</v>
      </c>
      <c r="Q44" s="4" t="n">
        <f aca="false">O44+P44</f>
        <v>0</v>
      </c>
      <c r="R44" s="4" t="n">
        <v>0</v>
      </c>
      <c r="S44" s="4" t="n">
        <f aca="false">MAX(0,Q44-J44)</f>
        <v>0</v>
      </c>
      <c r="T44" s="4" t="n">
        <f aca="false">IF(G44&lt;=0,"n/a",ROUND((I44+O44)/G44,0))</f>
        <v>106</v>
      </c>
      <c r="U44" s="4" t="s">
        <v>510</v>
      </c>
      <c r="V44" s="4" t="s">
        <v>446</v>
      </c>
    </row>
    <row r="45" customFormat="false" ht="15" hidden="false" customHeight="false" outlineLevel="0" collapsed="false">
      <c r="A45" s="4" t="s">
        <v>535</v>
      </c>
      <c r="B45" s="4" t="s">
        <v>536</v>
      </c>
      <c r="C45" s="4" t="s">
        <v>537</v>
      </c>
      <c r="D45" s="4" t="n">
        <v>11</v>
      </c>
      <c r="E45" s="4" t="n">
        <v>0</v>
      </c>
      <c r="F45" s="6" t="n">
        <f aca="false">IF((D45+E45)=0,0,E45/(D45+E45))</f>
        <v>0</v>
      </c>
      <c r="G45" s="4" t="n">
        <v>0.73</v>
      </c>
      <c r="H45" s="4" t="n">
        <v>33</v>
      </c>
      <c r="I45" s="4" t="n">
        <v>542</v>
      </c>
      <c r="J45" s="4" t="n">
        <v>154</v>
      </c>
      <c r="K45" s="4" t="n">
        <f aca="false">IF(G45&lt;=0,"n/a",ROUND(I45/G45,0))</f>
        <v>742</v>
      </c>
      <c r="L45" s="4" t="n">
        <v>0</v>
      </c>
      <c r="M45" s="4" t="n">
        <v>7.4</v>
      </c>
      <c r="N45" s="4" t="n">
        <v>0</v>
      </c>
      <c r="O45" s="4" t="n">
        <v>0</v>
      </c>
      <c r="P45" s="4" t="n">
        <v>0</v>
      </c>
      <c r="Q45" s="4" t="n">
        <f aca="false">O45+P45</f>
        <v>0</v>
      </c>
      <c r="R45" s="4" t="n">
        <v>0</v>
      </c>
      <c r="S45" s="4" t="n">
        <f aca="false">MAX(0,Q45-J45)</f>
        <v>0</v>
      </c>
      <c r="T45" s="4" t="n">
        <f aca="false">IF(G45&lt;=0,"n/a",ROUND((I45+O45)/G45,0))</f>
        <v>742</v>
      </c>
      <c r="U45" s="4" t="s">
        <v>510</v>
      </c>
      <c r="V45" s="4" t="s">
        <v>446</v>
      </c>
    </row>
    <row r="46" customFormat="false" ht="15" hidden="false" customHeight="false" outlineLevel="0" collapsed="false">
      <c r="A46" s="4" t="s">
        <v>538</v>
      </c>
      <c r="B46" s="4" t="s">
        <v>539</v>
      </c>
      <c r="C46" s="4" t="s">
        <v>540</v>
      </c>
      <c r="D46" s="4" t="n">
        <v>2</v>
      </c>
      <c r="E46" s="4" t="n">
        <v>3</v>
      </c>
      <c r="F46" s="6" t="n">
        <f aca="false">IF((D46+E46)=0,0,E46/(D46+E46))</f>
        <v>0.6</v>
      </c>
      <c r="G46" s="4" t="n">
        <v>0.33</v>
      </c>
      <c r="H46" s="4" t="n">
        <v>15</v>
      </c>
      <c r="I46" s="4" t="n">
        <v>4</v>
      </c>
      <c r="J46" s="4" t="n">
        <v>111</v>
      </c>
      <c r="K46" s="4" t="n">
        <f aca="false">IF(G46&lt;=0,"n/a",ROUND(I46/G46,0))</f>
        <v>12</v>
      </c>
      <c r="L46" s="4" t="n">
        <v>15</v>
      </c>
      <c r="M46" s="4" t="n">
        <v>15</v>
      </c>
      <c r="N46" s="4" t="n">
        <v>0</v>
      </c>
      <c r="O46" s="4" t="n">
        <v>0</v>
      </c>
      <c r="P46" s="4" t="n">
        <v>0</v>
      </c>
      <c r="Q46" s="4" t="n">
        <f aca="false">O46+P46</f>
        <v>0</v>
      </c>
      <c r="R46" s="4" t="n">
        <v>0</v>
      </c>
      <c r="S46" s="4" t="n">
        <f aca="false">MAX(0,Q46-J46)</f>
        <v>0</v>
      </c>
      <c r="T46" s="4" t="n">
        <f aca="false">IF(G46&lt;=0,"n/a",ROUND((I46+O46)/G46,0))</f>
        <v>12</v>
      </c>
      <c r="U46" s="4" t="s">
        <v>437</v>
      </c>
      <c r="V46" s="4" t="s">
        <v>446</v>
      </c>
    </row>
    <row r="47" customFormat="false" ht="15" hidden="false" customHeight="false" outlineLevel="0" collapsed="false">
      <c r="A47" s="4" t="s">
        <v>63</v>
      </c>
      <c r="B47" s="4" t="s">
        <v>64</v>
      </c>
      <c r="C47" s="4" t="s">
        <v>65</v>
      </c>
      <c r="D47" s="4" t="n">
        <v>15</v>
      </c>
      <c r="E47" s="4" t="n">
        <v>0</v>
      </c>
      <c r="F47" s="6" t="n">
        <f aca="false">IF((D47+E47)=0,0,E47/(D47+E47))</f>
        <v>0</v>
      </c>
      <c r="G47" s="4" t="n">
        <v>1</v>
      </c>
      <c r="H47" s="4" t="n">
        <v>45</v>
      </c>
      <c r="I47" s="4" t="n">
        <v>0</v>
      </c>
      <c r="J47" s="4" t="n">
        <v>139</v>
      </c>
      <c r="K47" s="4" t="n">
        <f aca="false">IF(G47&lt;=0,"n/a",ROUND(I47/G47,0))</f>
        <v>0</v>
      </c>
      <c r="L47" s="4" t="n">
        <v>45</v>
      </c>
      <c r="M47" s="4" t="n">
        <v>7</v>
      </c>
      <c r="N47" s="4" t="n">
        <v>38</v>
      </c>
      <c r="O47" s="4" t="n">
        <v>15</v>
      </c>
      <c r="P47" s="4" t="n">
        <v>10</v>
      </c>
      <c r="Q47" s="4" t="n">
        <f aca="false">O47+P47</f>
        <v>25</v>
      </c>
      <c r="R47" s="4" t="n">
        <v>0</v>
      </c>
      <c r="S47" s="4" t="n">
        <f aca="false">MAX(0,Q47-J47)</f>
        <v>0</v>
      </c>
      <c r="T47" s="4" t="n">
        <f aca="false">IF(G47&lt;=0,"n/a",ROUND((I47+O47)/G47,0))</f>
        <v>15</v>
      </c>
      <c r="U47" s="4" t="s">
        <v>510</v>
      </c>
      <c r="V47" s="4" t="s">
        <v>438</v>
      </c>
    </row>
    <row r="48" customFormat="false" ht="15" hidden="false" customHeight="false" outlineLevel="0" collapsed="false">
      <c r="A48" s="4" t="s">
        <v>67</v>
      </c>
      <c r="B48" s="4" t="s">
        <v>68</v>
      </c>
      <c r="C48" s="4" t="s">
        <v>69</v>
      </c>
      <c r="D48" s="4" t="n">
        <v>14</v>
      </c>
      <c r="E48" s="4" t="n">
        <v>4</v>
      </c>
      <c r="F48" s="6" t="n">
        <f aca="false">IF((D48+E48)=0,0,E48/(D48+E48))</f>
        <v>0.222222222222222</v>
      </c>
      <c r="G48" s="4" t="n">
        <v>1.2</v>
      </c>
      <c r="H48" s="4" t="n">
        <v>54</v>
      </c>
      <c r="I48" s="4" t="n">
        <v>35</v>
      </c>
      <c r="J48" s="4" t="n">
        <v>287</v>
      </c>
      <c r="K48" s="4" t="n">
        <f aca="false">IF(G48&lt;=0,"n/a",ROUND(I48/G48,0))</f>
        <v>29</v>
      </c>
      <c r="L48" s="4" t="n">
        <v>38</v>
      </c>
      <c r="M48" s="4" t="n">
        <v>4</v>
      </c>
      <c r="N48" s="4" t="n">
        <v>34</v>
      </c>
      <c r="O48" s="4" t="n">
        <v>20</v>
      </c>
      <c r="P48" s="4" t="n">
        <v>11</v>
      </c>
      <c r="Q48" s="4" t="n">
        <f aca="false">O48+P48</f>
        <v>31</v>
      </c>
      <c r="R48" s="4" t="n">
        <v>0</v>
      </c>
      <c r="S48" s="4" t="n">
        <f aca="false">MAX(0,Q48-J48)</f>
        <v>0</v>
      </c>
      <c r="T48" s="4" t="n">
        <f aca="false">IF(G48&lt;=0,"n/a",ROUND((I48+O48)/G48,0))</f>
        <v>46</v>
      </c>
      <c r="U48" s="4" t="s">
        <v>447</v>
      </c>
      <c r="V48" s="4" t="s">
        <v>438</v>
      </c>
    </row>
    <row r="49" customFormat="false" ht="15" hidden="false" customHeight="false" outlineLevel="0" collapsed="false">
      <c r="A49" s="4" t="s">
        <v>541</v>
      </c>
      <c r="B49" s="4" t="s">
        <v>542</v>
      </c>
      <c r="C49" s="4" t="s">
        <v>543</v>
      </c>
      <c r="D49" s="4" t="n">
        <v>0</v>
      </c>
      <c r="E49" s="4" t="n">
        <v>1</v>
      </c>
      <c r="F49" s="6" t="n">
        <f aca="false">IF((D49+E49)=0,0,E49/(D49+E49))</f>
        <v>1</v>
      </c>
      <c r="G49" s="4" t="n">
        <v>0.07</v>
      </c>
      <c r="H49" s="4" t="n">
        <v>3</v>
      </c>
      <c r="I49" s="4" t="n">
        <v>0</v>
      </c>
      <c r="J49" s="4" t="n">
        <v>96</v>
      </c>
      <c r="K49" s="4" t="n">
        <f aca="false">IF(G49&lt;=0,"n/a",ROUND(I49/G49,0))</f>
        <v>0</v>
      </c>
      <c r="L49" s="4" t="n">
        <v>3</v>
      </c>
      <c r="M49" s="4" t="n">
        <v>0</v>
      </c>
      <c r="N49" s="4" t="n">
        <v>3</v>
      </c>
      <c r="O49" s="4" t="n">
        <v>0</v>
      </c>
      <c r="P49" s="4" t="n">
        <v>0</v>
      </c>
      <c r="Q49" s="4" t="n">
        <f aca="false">O49+P49</f>
        <v>0</v>
      </c>
      <c r="R49" s="4" t="n">
        <v>0</v>
      </c>
      <c r="S49" s="4" t="n">
        <f aca="false">MAX(0,Q49-J49)</f>
        <v>0</v>
      </c>
      <c r="T49" s="4" t="n">
        <f aca="false">IF(G49&lt;=0,"n/a",ROUND((I49+O49)/G49,0))</f>
        <v>0</v>
      </c>
      <c r="U49" s="4" t="s">
        <v>437</v>
      </c>
      <c r="V49" s="4" t="s">
        <v>442</v>
      </c>
    </row>
    <row r="50" customFormat="false" ht="15" hidden="false" customHeight="false" outlineLevel="0" collapsed="false">
      <c r="A50" s="4" t="s">
        <v>544</v>
      </c>
      <c r="B50" s="4" t="s">
        <v>545</v>
      </c>
      <c r="C50" s="4" t="s">
        <v>546</v>
      </c>
      <c r="D50" s="4" t="n">
        <v>1</v>
      </c>
      <c r="E50" s="4" t="n">
        <v>0</v>
      </c>
      <c r="F50" s="6" t="n">
        <f aca="false">IF((D50+E50)=0,0,E50/(D50+E50))</f>
        <v>0</v>
      </c>
      <c r="G50" s="4" t="n">
        <v>0.07</v>
      </c>
      <c r="H50" s="4" t="n">
        <v>3</v>
      </c>
      <c r="I50" s="4" t="n">
        <v>8</v>
      </c>
      <c r="J50" s="4" t="n">
        <v>89</v>
      </c>
      <c r="K50" s="4" t="n">
        <f aca="false">IF(G50&lt;=0,"n/a",ROUND(I50/G50,0))</f>
        <v>114</v>
      </c>
      <c r="L50" s="4" t="n">
        <v>3</v>
      </c>
      <c r="M50" s="4" t="n">
        <v>0</v>
      </c>
      <c r="N50" s="4" t="n">
        <v>3</v>
      </c>
      <c r="O50" s="4" t="n">
        <v>0</v>
      </c>
      <c r="P50" s="4" t="n">
        <v>0</v>
      </c>
      <c r="Q50" s="4" t="n">
        <f aca="false">O50+P50</f>
        <v>0</v>
      </c>
      <c r="R50" s="4" t="n">
        <v>0</v>
      </c>
      <c r="S50" s="4" t="n">
        <f aca="false">MAX(0,Q50-J50)</f>
        <v>0</v>
      </c>
      <c r="T50" s="4" t="n">
        <f aca="false">IF(G50&lt;=0,"n/a",ROUND((I50+O50)/G50,0))</f>
        <v>114</v>
      </c>
      <c r="U50" s="4" t="s">
        <v>437</v>
      </c>
      <c r="V50" s="4" t="s">
        <v>442</v>
      </c>
    </row>
    <row r="51" customFormat="false" ht="15" hidden="false" customHeight="false" outlineLevel="0" collapsed="false">
      <c r="A51" s="4" t="s">
        <v>71</v>
      </c>
      <c r="B51" s="4" t="s">
        <v>72</v>
      </c>
      <c r="C51" s="4" t="s">
        <v>73</v>
      </c>
      <c r="D51" s="4" t="n">
        <v>155</v>
      </c>
      <c r="E51" s="4" t="n">
        <v>41</v>
      </c>
      <c r="F51" s="6" t="n">
        <f aca="false">IF((D51+E51)=0,0,E51/(D51+E51))</f>
        <v>0.209183673469388</v>
      </c>
      <c r="G51" s="4" t="n">
        <v>13.07</v>
      </c>
      <c r="H51" s="4" t="n">
        <v>588</v>
      </c>
      <c r="I51" s="4" t="n">
        <v>138</v>
      </c>
      <c r="J51" s="4" t="n">
        <v>414</v>
      </c>
      <c r="K51" s="4" t="n">
        <f aca="false">IF(G51&lt;=0,"n/a",ROUND(I51/G51,0))</f>
        <v>11</v>
      </c>
      <c r="L51" s="4" t="n">
        <v>470.8</v>
      </c>
      <c r="M51" s="4" t="n">
        <v>246.7</v>
      </c>
      <c r="N51" s="4" t="n">
        <v>224.1</v>
      </c>
      <c r="O51" s="4" t="n">
        <v>114</v>
      </c>
      <c r="P51" s="4" t="n">
        <v>107</v>
      </c>
      <c r="Q51" s="4" t="n">
        <f aca="false">O51+P51</f>
        <v>221</v>
      </c>
      <c r="R51" s="4" t="n">
        <v>0</v>
      </c>
      <c r="S51" s="4" t="n">
        <f aca="false">MAX(0,Q51-J51)</f>
        <v>0</v>
      </c>
      <c r="T51" s="4" t="n">
        <f aca="false">IF(G51&lt;=0,"n/a",ROUND((I51+O51)/G51,0))</f>
        <v>19</v>
      </c>
      <c r="U51" s="4" t="s">
        <v>479</v>
      </c>
      <c r="V51" s="4" t="s">
        <v>438</v>
      </c>
    </row>
    <row r="52" customFormat="false" ht="15" hidden="false" customHeight="false" outlineLevel="0" collapsed="false">
      <c r="A52" s="4" t="s">
        <v>79</v>
      </c>
      <c r="B52" s="4" t="s">
        <v>80</v>
      </c>
      <c r="C52" s="4" t="s">
        <v>81</v>
      </c>
      <c r="D52" s="4" t="n">
        <v>24</v>
      </c>
      <c r="E52" s="4" t="n">
        <v>38</v>
      </c>
      <c r="F52" s="6" t="n">
        <f aca="false">IF((D52+E52)=0,0,E52/(D52+E52))</f>
        <v>0.612903225806452</v>
      </c>
      <c r="G52" s="4" t="n">
        <v>4.13</v>
      </c>
      <c r="H52" s="4" t="n">
        <v>186</v>
      </c>
      <c r="I52" s="4" t="n">
        <v>8</v>
      </c>
      <c r="J52" s="4" t="n">
        <v>122</v>
      </c>
      <c r="K52" s="4" t="n">
        <f aca="false">IF(G52&lt;=0,"n/a",ROUND(I52/G52,0))</f>
        <v>2</v>
      </c>
      <c r="L52" s="4" t="n">
        <v>178</v>
      </c>
      <c r="M52" s="4" t="n">
        <v>127.4</v>
      </c>
      <c r="N52" s="4" t="n">
        <v>50.6</v>
      </c>
      <c r="O52" s="4" t="n">
        <v>31</v>
      </c>
      <c r="P52" s="4" t="n">
        <v>16</v>
      </c>
      <c r="Q52" s="4" t="n">
        <f aca="false">O52+P52</f>
        <v>47</v>
      </c>
      <c r="R52" s="4" t="n">
        <v>0</v>
      </c>
      <c r="S52" s="4" t="n">
        <f aca="false">MAX(0,Q52-J52)</f>
        <v>0</v>
      </c>
      <c r="T52" s="4" t="n">
        <f aca="false">IF(G52&lt;=0,"n/a",ROUND((I52+O52)/G52,0))</f>
        <v>9</v>
      </c>
      <c r="U52" s="4" t="s">
        <v>479</v>
      </c>
      <c r="V52" s="4" t="s">
        <v>438</v>
      </c>
    </row>
    <row r="53" customFormat="false" ht="15" hidden="false" customHeight="false" outlineLevel="0" collapsed="false">
      <c r="A53" s="4" t="s">
        <v>83</v>
      </c>
      <c r="B53" s="4" t="s">
        <v>84</v>
      </c>
      <c r="C53" s="4" t="s">
        <v>85</v>
      </c>
      <c r="D53" s="4" t="n">
        <v>20</v>
      </c>
      <c r="E53" s="4" t="n">
        <v>4</v>
      </c>
      <c r="F53" s="6" t="n">
        <f aca="false">IF((D53+E53)=0,0,E53/(D53+E53))</f>
        <v>0.166666666666667</v>
      </c>
      <c r="G53" s="4" t="n">
        <v>1.6</v>
      </c>
      <c r="H53" s="4" t="n">
        <v>72</v>
      </c>
      <c r="I53" s="4" t="n">
        <v>3</v>
      </c>
      <c r="J53" s="4" t="n">
        <v>305</v>
      </c>
      <c r="K53" s="4" t="n">
        <f aca="false">IF(G53&lt;=0,"n/a",ROUND(I53/G53,0))</f>
        <v>2</v>
      </c>
      <c r="L53" s="4" t="n">
        <v>72</v>
      </c>
      <c r="M53" s="4" t="n">
        <v>66.7</v>
      </c>
      <c r="N53" s="4" t="n">
        <v>5.3</v>
      </c>
      <c r="O53" s="4" t="n">
        <v>10</v>
      </c>
      <c r="P53" s="4" t="n">
        <v>0</v>
      </c>
      <c r="Q53" s="4" t="n">
        <f aca="false">O53+P53</f>
        <v>10</v>
      </c>
      <c r="R53" s="4" t="n">
        <v>0</v>
      </c>
      <c r="S53" s="4" t="n">
        <f aca="false">MAX(0,Q53-J53)</f>
        <v>0</v>
      </c>
      <c r="T53" s="4" t="n">
        <f aca="false">IF(G53&lt;=0,"n/a",ROUND((I53+O53)/G53,0))</f>
        <v>8</v>
      </c>
      <c r="U53" s="4" t="s">
        <v>447</v>
      </c>
      <c r="V53" s="4" t="s">
        <v>448</v>
      </c>
    </row>
    <row r="54" customFormat="false" ht="15" hidden="false" customHeight="false" outlineLevel="0" collapsed="false">
      <c r="A54" s="4" t="s">
        <v>86</v>
      </c>
      <c r="B54" s="4" t="s">
        <v>87</v>
      </c>
      <c r="C54" s="4" t="s">
        <v>88</v>
      </c>
      <c r="D54" s="4" t="n">
        <v>16</v>
      </c>
      <c r="E54" s="4" t="n">
        <v>65</v>
      </c>
      <c r="F54" s="6" t="n">
        <f aca="false">IF((D54+E54)=0,0,E54/(D54+E54))</f>
        <v>0.802469135802469</v>
      </c>
      <c r="G54" s="4" t="n">
        <v>5.4</v>
      </c>
      <c r="H54" s="4" t="n">
        <v>243</v>
      </c>
      <c r="I54" s="4" t="n">
        <v>24</v>
      </c>
      <c r="J54" s="4" t="n">
        <v>364</v>
      </c>
      <c r="K54" s="4" t="n">
        <f aca="false">IF(G54&lt;=0,"n/a",ROUND(I54/G54,0))</f>
        <v>4</v>
      </c>
      <c r="L54" s="4" t="n">
        <v>219</v>
      </c>
      <c r="M54" s="4" t="n">
        <v>151.9</v>
      </c>
      <c r="N54" s="4" t="n">
        <v>67.1</v>
      </c>
      <c r="O54" s="4" t="n">
        <v>49</v>
      </c>
      <c r="P54" s="4" t="n">
        <v>16</v>
      </c>
      <c r="Q54" s="4" t="n">
        <f aca="false">O54+P54</f>
        <v>65</v>
      </c>
      <c r="R54" s="4" t="n">
        <v>0</v>
      </c>
      <c r="S54" s="4" t="n">
        <f aca="false">MAX(0,Q54-J54)</f>
        <v>0</v>
      </c>
      <c r="T54" s="4" t="n">
        <f aca="false">IF(G54&lt;=0,"n/a",ROUND((I54+O54)/G54,0))</f>
        <v>14</v>
      </c>
      <c r="U54" s="4" t="s">
        <v>479</v>
      </c>
      <c r="V54" s="4" t="s">
        <v>438</v>
      </c>
    </row>
    <row r="55" customFormat="false" ht="15" hidden="false" customHeight="false" outlineLevel="0" collapsed="false">
      <c r="A55" s="4" t="s">
        <v>547</v>
      </c>
      <c r="B55" s="4" t="s">
        <v>548</v>
      </c>
      <c r="C55" s="4" t="s">
        <v>549</v>
      </c>
      <c r="D55" s="4" t="n">
        <v>3</v>
      </c>
      <c r="E55" s="4" t="n">
        <v>8</v>
      </c>
      <c r="F55" s="6" t="n">
        <f aca="false">IF((D55+E55)=0,0,E55/(D55+E55))</f>
        <v>0.727272727272727</v>
      </c>
      <c r="G55" s="4" t="n">
        <v>0.73</v>
      </c>
      <c r="H55" s="4" t="n">
        <v>33</v>
      </c>
      <c r="I55" s="4" t="n">
        <v>0</v>
      </c>
      <c r="J55" s="4" t="n">
        <v>17</v>
      </c>
      <c r="K55" s="4" t="n">
        <f aca="false">IF(G55&lt;=0,"n/a",ROUND(I55/G55,0))</f>
        <v>0</v>
      </c>
      <c r="L55" s="4" t="n">
        <v>33</v>
      </c>
      <c r="M55" s="4" t="n">
        <v>38.4</v>
      </c>
      <c r="N55" s="4" t="n">
        <v>0</v>
      </c>
      <c r="O55" s="4" t="n">
        <v>0</v>
      </c>
      <c r="P55" s="4" t="n">
        <v>0</v>
      </c>
      <c r="Q55" s="4" t="n">
        <f aca="false">O55+P55</f>
        <v>0</v>
      </c>
      <c r="R55" s="4" t="n">
        <v>0</v>
      </c>
      <c r="S55" s="4" t="n">
        <f aca="false">MAX(0,Q55-J55)</f>
        <v>0</v>
      </c>
      <c r="T55" s="4" t="n">
        <f aca="false">IF(G55&lt;=0,"n/a",ROUND((I55+O55)/G55,0))</f>
        <v>0</v>
      </c>
      <c r="U55" s="4" t="s">
        <v>447</v>
      </c>
      <c r="V55" s="4" t="s">
        <v>446</v>
      </c>
    </row>
    <row r="56" customFormat="false" ht="15" hidden="false" customHeight="false" outlineLevel="0" collapsed="false">
      <c r="A56" s="4" t="s">
        <v>89</v>
      </c>
      <c r="B56" s="4" t="s">
        <v>90</v>
      </c>
      <c r="C56" s="4" t="s">
        <v>91</v>
      </c>
      <c r="D56" s="4" t="n">
        <v>35</v>
      </c>
      <c r="E56" s="4" t="n">
        <v>26</v>
      </c>
      <c r="F56" s="6" t="n">
        <f aca="false">IF((D56+E56)=0,0,E56/(D56+E56))</f>
        <v>0.426229508196721</v>
      </c>
      <c r="G56" s="4" t="n">
        <v>4.07</v>
      </c>
      <c r="H56" s="4" t="n">
        <v>183</v>
      </c>
      <c r="I56" s="4" t="n">
        <v>35</v>
      </c>
      <c r="J56" s="4" t="n">
        <v>582</v>
      </c>
      <c r="K56" s="4" t="n">
        <f aca="false">IF(G56&lt;=0,"n/a",ROUND(I56/G56,0))</f>
        <v>9</v>
      </c>
      <c r="L56" s="4" t="n">
        <v>157.2</v>
      </c>
      <c r="M56" s="4" t="n">
        <v>112.3</v>
      </c>
      <c r="N56" s="4" t="n">
        <v>44.9</v>
      </c>
      <c r="O56" s="4" t="n">
        <v>31</v>
      </c>
      <c r="P56" s="4" t="n">
        <v>10</v>
      </c>
      <c r="Q56" s="4" t="n">
        <f aca="false">O56+P56</f>
        <v>41</v>
      </c>
      <c r="R56" s="4" t="n">
        <v>0</v>
      </c>
      <c r="S56" s="4" t="n">
        <f aca="false">MAX(0,Q56-J56)</f>
        <v>0</v>
      </c>
      <c r="T56" s="4" t="n">
        <f aca="false">IF(G56&lt;=0,"n/a",ROUND((I56+O56)/G56,0))</f>
        <v>16</v>
      </c>
      <c r="U56" s="4" t="s">
        <v>479</v>
      </c>
      <c r="V56" s="4" t="s">
        <v>438</v>
      </c>
    </row>
    <row r="57" customFormat="false" ht="15" hidden="false" customHeight="false" outlineLevel="0" collapsed="false">
      <c r="A57" s="4" t="s">
        <v>550</v>
      </c>
      <c r="B57" s="4" t="s">
        <v>551</v>
      </c>
      <c r="C57" s="4" t="s">
        <v>552</v>
      </c>
      <c r="D57" s="4" t="n">
        <v>32</v>
      </c>
      <c r="E57" s="4" t="n">
        <v>6</v>
      </c>
      <c r="F57" s="6" t="n">
        <f aca="false">IF((D57+E57)=0,0,E57/(D57+E57))</f>
        <v>0.157894736842105</v>
      </c>
      <c r="G57" s="4" t="n">
        <v>2.53</v>
      </c>
      <c r="H57" s="4" t="n">
        <v>114</v>
      </c>
      <c r="I57" s="4" t="n">
        <v>133</v>
      </c>
      <c r="J57" s="4" t="n">
        <v>955</v>
      </c>
      <c r="K57" s="4" t="n">
        <f aca="false">IF(G57&lt;=0,"n/a",ROUND(I57/G57,0))</f>
        <v>53</v>
      </c>
      <c r="L57" s="4" t="n">
        <v>49</v>
      </c>
      <c r="M57" s="4" t="n">
        <v>52.3</v>
      </c>
      <c r="N57" s="4" t="n">
        <v>0</v>
      </c>
      <c r="O57" s="4" t="n">
        <v>0</v>
      </c>
      <c r="P57" s="4" t="n">
        <v>0</v>
      </c>
      <c r="Q57" s="4" t="n">
        <f aca="false">O57+P57</f>
        <v>0</v>
      </c>
      <c r="R57" s="4" t="n">
        <v>0</v>
      </c>
      <c r="S57" s="4" t="n">
        <f aca="false">MAX(0,Q57-J57)</f>
        <v>0</v>
      </c>
      <c r="T57" s="4" t="n">
        <f aca="false">IF(G57&lt;=0,"n/a",ROUND((I57+O57)/G57,0))</f>
        <v>53</v>
      </c>
      <c r="U57" s="4" t="s">
        <v>447</v>
      </c>
      <c r="V57" s="4" t="s">
        <v>446</v>
      </c>
    </row>
    <row r="58" customFormat="false" ht="15" hidden="false" customHeight="false" outlineLevel="0" collapsed="false">
      <c r="A58" s="4" t="s">
        <v>92</v>
      </c>
      <c r="B58" s="4" t="s">
        <v>93</v>
      </c>
      <c r="C58" s="4" t="s">
        <v>94</v>
      </c>
      <c r="D58" s="4" t="n">
        <v>1</v>
      </c>
      <c r="E58" s="4" t="n">
        <v>4</v>
      </c>
      <c r="F58" s="6" t="n">
        <f aca="false">IF((D58+E58)=0,0,E58/(D58+E58))</f>
        <v>0.8</v>
      </c>
      <c r="G58" s="4" t="n">
        <v>0.33</v>
      </c>
      <c r="H58" s="4" t="n">
        <v>15</v>
      </c>
      <c r="I58" s="4" t="n">
        <v>14</v>
      </c>
      <c r="J58" s="4" t="n">
        <v>493</v>
      </c>
      <c r="K58" s="4" t="n">
        <f aca="false">IF(G58&lt;=0,"n/a",ROUND(I58/G58,0))</f>
        <v>42</v>
      </c>
      <c r="L58" s="4" t="n">
        <v>14</v>
      </c>
      <c r="M58" s="4" t="n">
        <v>13.2</v>
      </c>
      <c r="N58" s="4" t="n">
        <v>0.8</v>
      </c>
      <c r="O58" s="4" t="n">
        <v>2</v>
      </c>
      <c r="P58" s="4" t="n">
        <v>0</v>
      </c>
      <c r="Q58" s="4" t="n">
        <f aca="false">O58+P58</f>
        <v>2</v>
      </c>
      <c r="R58" s="4" t="n">
        <v>0</v>
      </c>
      <c r="S58" s="4" t="n">
        <f aca="false">MAX(0,Q58-J58)</f>
        <v>0</v>
      </c>
      <c r="T58" s="4" t="n">
        <f aca="false">IF(G58&lt;=0,"n/a",ROUND((I58+O58)/G58,0))</f>
        <v>48</v>
      </c>
      <c r="U58" s="4" t="s">
        <v>437</v>
      </c>
      <c r="V58" s="4" t="s">
        <v>448</v>
      </c>
    </row>
    <row r="59" customFormat="false" ht="15" hidden="false" customHeight="false" outlineLevel="0" collapsed="false">
      <c r="A59" s="4" t="s">
        <v>553</v>
      </c>
      <c r="B59" s="4" t="s">
        <v>554</v>
      </c>
      <c r="C59" s="4" t="s">
        <v>555</v>
      </c>
      <c r="D59" s="4" t="n">
        <v>4</v>
      </c>
      <c r="E59" s="4" t="n">
        <v>3</v>
      </c>
      <c r="F59" s="6" t="n">
        <f aca="false">IF((D59+E59)=0,0,E59/(D59+E59))</f>
        <v>0.428571428571429</v>
      </c>
      <c r="G59" s="4" t="n">
        <v>0.47</v>
      </c>
      <c r="H59" s="4" t="n">
        <v>21</v>
      </c>
      <c r="I59" s="4" t="n">
        <v>11</v>
      </c>
      <c r="J59" s="4" t="n">
        <v>451</v>
      </c>
      <c r="K59" s="4" t="n">
        <f aca="false">IF(G59&lt;=0,"n/a",ROUND(I59/G59,0))</f>
        <v>23</v>
      </c>
      <c r="L59" s="4" t="n">
        <v>21</v>
      </c>
      <c r="M59" s="4" t="n">
        <v>21.5</v>
      </c>
      <c r="N59" s="4" t="n">
        <v>0</v>
      </c>
      <c r="O59" s="4" t="n">
        <v>0</v>
      </c>
      <c r="P59" s="4" t="n">
        <v>0</v>
      </c>
      <c r="Q59" s="4" t="n">
        <f aca="false">O59+P59</f>
        <v>0</v>
      </c>
      <c r="R59" s="4" t="n">
        <v>0</v>
      </c>
      <c r="S59" s="4" t="n">
        <f aca="false">MAX(0,Q59-J59)</f>
        <v>0</v>
      </c>
      <c r="T59" s="4" t="n">
        <f aca="false">IF(G59&lt;=0,"n/a",ROUND((I59+O59)/G59,0))</f>
        <v>23</v>
      </c>
      <c r="U59" s="4" t="s">
        <v>447</v>
      </c>
      <c r="V59" s="4" t="s">
        <v>446</v>
      </c>
    </row>
    <row r="60" customFormat="false" ht="15" hidden="false" customHeight="false" outlineLevel="0" collapsed="false">
      <c r="A60" s="4" t="s">
        <v>95</v>
      </c>
      <c r="B60" s="4" t="s">
        <v>96</v>
      </c>
      <c r="C60" s="4" t="s">
        <v>97</v>
      </c>
      <c r="D60" s="4" t="n">
        <v>14</v>
      </c>
      <c r="E60" s="4" t="n">
        <v>10</v>
      </c>
      <c r="F60" s="6" t="n">
        <f aca="false">IF((D60+E60)=0,0,E60/(D60+E60))</f>
        <v>0.416666666666667</v>
      </c>
      <c r="G60" s="4" t="n">
        <v>1.6</v>
      </c>
      <c r="H60" s="4" t="n">
        <v>72</v>
      </c>
      <c r="I60" s="4" t="n">
        <v>69</v>
      </c>
      <c r="J60" s="4" t="n">
        <v>1287</v>
      </c>
      <c r="K60" s="4" t="n">
        <f aca="false">IF(G60&lt;=0,"n/a",ROUND(I60/G60,0))</f>
        <v>43</v>
      </c>
      <c r="L60" s="4" t="n">
        <v>57.7</v>
      </c>
      <c r="M60" s="4" t="n">
        <v>2.7</v>
      </c>
      <c r="N60" s="4" t="n">
        <v>55</v>
      </c>
      <c r="O60" s="4" t="n">
        <v>22</v>
      </c>
      <c r="P60" s="4" t="n">
        <v>19</v>
      </c>
      <c r="Q60" s="4" t="n">
        <f aca="false">O60+P60</f>
        <v>41</v>
      </c>
      <c r="R60" s="4" t="n">
        <v>0</v>
      </c>
      <c r="S60" s="4" t="n">
        <f aca="false">MAX(0,Q60-J60)</f>
        <v>0</v>
      </c>
      <c r="T60" s="4" t="n">
        <f aca="false">IF(G60&lt;=0,"n/a",ROUND((I60+O60)/G60,0))</f>
        <v>57</v>
      </c>
      <c r="U60" s="4" t="s">
        <v>447</v>
      </c>
      <c r="V60" s="4" t="s">
        <v>438</v>
      </c>
    </row>
    <row r="61" customFormat="false" ht="15" hidden="false" customHeight="false" outlineLevel="0" collapsed="false">
      <c r="A61" s="4" t="s">
        <v>98</v>
      </c>
      <c r="B61" s="4" t="s">
        <v>99</v>
      </c>
      <c r="C61" s="4" t="s">
        <v>100</v>
      </c>
      <c r="D61" s="4" t="n">
        <v>3</v>
      </c>
      <c r="E61" s="4" t="n">
        <v>5</v>
      </c>
      <c r="F61" s="6" t="n">
        <f aca="false">IF((D61+E61)=0,0,E61/(D61+E61))</f>
        <v>0.625</v>
      </c>
      <c r="G61" s="4" t="n">
        <v>0.53</v>
      </c>
      <c r="H61" s="4" t="n">
        <v>24</v>
      </c>
      <c r="I61" s="4" t="n">
        <v>7</v>
      </c>
      <c r="J61" s="4" t="n">
        <v>467</v>
      </c>
      <c r="K61" s="4" t="n">
        <f aca="false">IF(G61&lt;=0,"n/a",ROUND(I61/G61,0))</f>
        <v>13</v>
      </c>
      <c r="L61" s="4" t="n">
        <v>24</v>
      </c>
      <c r="M61" s="4" t="n">
        <v>21.9</v>
      </c>
      <c r="N61" s="4" t="n">
        <v>2.1</v>
      </c>
      <c r="O61" s="4" t="n">
        <v>2</v>
      </c>
      <c r="P61" s="4" t="n">
        <v>0</v>
      </c>
      <c r="Q61" s="4" t="n">
        <f aca="false">O61+P61</f>
        <v>2</v>
      </c>
      <c r="R61" s="4" t="n">
        <v>0</v>
      </c>
      <c r="S61" s="4" t="n">
        <f aca="false">MAX(0,Q61-J61)</f>
        <v>0</v>
      </c>
      <c r="T61" s="4" t="n">
        <f aca="false">IF(G61&lt;=0,"n/a",ROUND((I61+O61)/G61,0))</f>
        <v>17</v>
      </c>
      <c r="U61" s="4" t="s">
        <v>447</v>
      </c>
      <c r="V61" s="4" t="s">
        <v>448</v>
      </c>
    </row>
    <row r="62" customFormat="false" ht="15" hidden="false" customHeight="false" outlineLevel="0" collapsed="false">
      <c r="A62" s="4" t="s">
        <v>101</v>
      </c>
      <c r="B62" s="4" t="s">
        <v>102</v>
      </c>
      <c r="C62" s="4" t="s">
        <v>103</v>
      </c>
      <c r="D62" s="4" t="n">
        <v>101</v>
      </c>
      <c r="E62" s="4" t="n">
        <v>15</v>
      </c>
      <c r="F62" s="6" t="n">
        <f aca="false">IF((D62+E62)=0,0,E62/(D62+E62))</f>
        <v>0.129310344827586</v>
      </c>
      <c r="G62" s="4" t="n">
        <v>7.73</v>
      </c>
      <c r="H62" s="4" t="n">
        <v>348</v>
      </c>
      <c r="I62" s="4" t="n">
        <v>112</v>
      </c>
      <c r="J62" s="4" t="n">
        <v>946</v>
      </c>
      <c r="K62" s="4" t="n">
        <f aca="false">IF(G62&lt;=0,"n/a",ROUND(I62/G62,0))</f>
        <v>14</v>
      </c>
      <c r="L62" s="4" t="n">
        <v>270.9</v>
      </c>
      <c r="M62" s="4" t="n">
        <v>233.1</v>
      </c>
      <c r="N62" s="4" t="n">
        <v>37.9</v>
      </c>
      <c r="O62" s="4" t="n">
        <v>30</v>
      </c>
      <c r="P62" s="4" t="n">
        <v>13</v>
      </c>
      <c r="Q62" s="4" t="n">
        <f aca="false">O62+P62</f>
        <v>43</v>
      </c>
      <c r="R62" s="4" t="n">
        <v>0</v>
      </c>
      <c r="S62" s="4" t="n">
        <f aca="false">MAX(0,Q62-J62)</f>
        <v>0</v>
      </c>
      <c r="T62" s="4" t="n">
        <f aca="false">IF(G62&lt;=0,"n/a",ROUND((I62+O62)/G62,0))</f>
        <v>18</v>
      </c>
      <c r="U62" s="4" t="s">
        <v>447</v>
      </c>
      <c r="V62" s="4" t="s">
        <v>438</v>
      </c>
    </row>
    <row r="63" customFormat="false" ht="15" hidden="false" customHeight="false" outlineLevel="0" collapsed="false">
      <c r="A63" s="4" t="s">
        <v>104</v>
      </c>
      <c r="B63" s="4" t="s">
        <v>105</v>
      </c>
      <c r="C63" s="4" t="s">
        <v>106</v>
      </c>
      <c r="D63" s="4" t="n">
        <v>5</v>
      </c>
      <c r="E63" s="4" t="n">
        <v>0</v>
      </c>
      <c r="F63" s="6" t="n">
        <f aca="false">IF((D63+E63)=0,0,E63/(D63+E63))</f>
        <v>0</v>
      </c>
      <c r="G63" s="4" t="n">
        <v>0.33</v>
      </c>
      <c r="H63" s="4" t="n">
        <v>15</v>
      </c>
      <c r="I63" s="4" t="n">
        <v>16</v>
      </c>
      <c r="J63" s="4" t="n">
        <v>123</v>
      </c>
      <c r="K63" s="4" t="n">
        <f aca="false">IF(G63&lt;=0,"n/a",ROUND(I63/G63,0))</f>
        <v>48</v>
      </c>
      <c r="L63" s="4" t="n">
        <v>14</v>
      </c>
      <c r="M63" s="4" t="n">
        <v>12</v>
      </c>
      <c r="N63" s="4" t="n">
        <v>2</v>
      </c>
      <c r="O63" s="4" t="n">
        <v>2</v>
      </c>
      <c r="P63" s="4" t="n">
        <v>0</v>
      </c>
      <c r="Q63" s="4" t="n">
        <f aca="false">O63+P63</f>
        <v>2</v>
      </c>
      <c r="R63" s="4" t="n">
        <v>0</v>
      </c>
      <c r="S63" s="4" t="n">
        <f aca="false">MAX(0,Q63-J63)</f>
        <v>0</v>
      </c>
      <c r="T63" s="4" t="n">
        <f aca="false">IF(G63&lt;=0,"n/a",ROUND((I63+O63)/G63,0))</f>
        <v>55</v>
      </c>
      <c r="U63" s="4" t="s">
        <v>510</v>
      </c>
      <c r="V63" s="4" t="s">
        <v>448</v>
      </c>
    </row>
    <row r="64" customFormat="false" ht="15" hidden="false" customHeight="false" outlineLevel="0" collapsed="false">
      <c r="A64" s="4" t="s">
        <v>107</v>
      </c>
      <c r="B64" s="4" t="s">
        <v>108</v>
      </c>
      <c r="C64" s="4" t="s">
        <v>109</v>
      </c>
      <c r="D64" s="4" t="n">
        <v>2</v>
      </c>
      <c r="E64" s="4" t="n">
        <v>0</v>
      </c>
      <c r="F64" s="6" t="n">
        <f aca="false">IF((D64+E64)=0,0,E64/(D64+E64))</f>
        <v>0</v>
      </c>
      <c r="G64" s="4" t="n">
        <v>0.13</v>
      </c>
      <c r="H64" s="4" t="n">
        <v>6</v>
      </c>
      <c r="I64" s="4" t="n">
        <v>7</v>
      </c>
      <c r="J64" s="4" t="n">
        <v>67</v>
      </c>
      <c r="K64" s="4" t="n">
        <f aca="false">IF(G64&lt;=0,"n/a",ROUND(I64/G64,0))</f>
        <v>54</v>
      </c>
      <c r="L64" s="4" t="n">
        <v>6</v>
      </c>
      <c r="M64" s="4" t="n">
        <v>0</v>
      </c>
      <c r="N64" s="4" t="n">
        <v>6</v>
      </c>
      <c r="O64" s="4" t="n">
        <v>2</v>
      </c>
      <c r="P64" s="4" t="n">
        <v>4</v>
      </c>
      <c r="Q64" s="4" t="n">
        <f aca="false">O64+P64</f>
        <v>6</v>
      </c>
      <c r="R64" s="4" t="n">
        <v>0</v>
      </c>
      <c r="S64" s="4" t="n">
        <f aca="false">MAX(0,Q64-J64)</f>
        <v>0</v>
      </c>
      <c r="T64" s="4" t="n">
        <f aca="false">IF(G64&lt;=0,"n/a",ROUND((I64+O64)/G64,0))</f>
        <v>69</v>
      </c>
      <c r="U64" s="4" t="s">
        <v>437</v>
      </c>
      <c r="V64" s="4" t="s">
        <v>438</v>
      </c>
    </row>
    <row r="65" customFormat="false" ht="15" hidden="false" customHeight="false" outlineLevel="0" collapsed="false">
      <c r="A65" s="4" t="s">
        <v>110</v>
      </c>
      <c r="B65" s="4" t="s">
        <v>111</v>
      </c>
      <c r="C65" s="4" t="s">
        <v>112</v>
      </c>
      <c r="D65" s="4" t="n">
        <v>21</v>
      </c>
      <c r="E65" s="4" t="n">
        <v>0</v>
      </c>
      <c r="F65" s="6" t="n">
        <f aca="false">IF((D65+E65)=0,0,E65/(D65+E65))</f>
        <v>0</v>
      </c>
      <c r="G65" s="4" t="n">
        <v>1.4</v>
      </c>
      <c r="H65" s="4" t="n">
        <v>63</v>
      </c>
      <c r="I65" s="4" t="n">
        <v>23</v>
      </c>
      <c r="J65" s="4" t="n">
        <v>210</v>
      </c>
      <c r="K65" s="4" t="n">
        <f aca="false">IF(G65&lt;=0,"n/a",ROUND(I65/G65,0))</f>
        <v>16</v>
      </c>
      <c r="L65" s="4" t="n">
        <v>51</v>
      </c>
      <c r="M65" s="4" t="n">
        <v>32</v>
      </c>
      <c r="N65" s="4" t="n">
        <v>19</v>
      </c>
      <c r="O65" s="4" t="n">
        <v>6</v>
      </c>
      <c r="P65" s="4" t="n">
        <v>3</v>
      </c>
      <c r="Q65" s="4" t="n">
        <f aca="false">O65+P65</f>
        <v>9</v>
      </c>
      <c r="R65" s="4" t="n">
        <v>0</v>
      </c>
      <c r="S65" s="4" t="n">
        <f aca="false">MAX(0,Q65-J65)</f>
        <v>0</v>
      </c>
      <c r="T65" s="4" t="n">
        <f aca="false">IF(G65&lt;=0,"n/a",ROUND((I65+O65)/G65,0))</f>
        <v>21</v>
      </c>
      <c r="U65" s="4" t="s">
        <v>510</v>
      </c>
      <c r="V65" s="4" t="s">
        <v>438</v>
      </c>
    </row>
    <row r="66" customFormat="false" ht="15" hidden="false" customHeight="false" outlineLevel="0" collapsed="false">
      <c r="A66" s="4" t="s">
        <v>556</v>
      </c>
      <c r="B66" s="4" t="s">
        <v>557</v>
      </c>
      <c r="C66" s="4" t="s">
        <v>558</v>
      </c>
      <c r="D66" s="4" t="n">
        <v>10</v>
      </c>
      <c r="E66" s="4" t="n">
        <v>0</v>
      </c>
      <c r="F66" s="6" t="n">
        <f aca="false">IF((D66+E66)=0,0,E66/(D66+E66))</f>
        <v>0</v>
      </c>
      <c r="G66" s="4" t="n">
        <v>0.67</v>
      </c>
      <c r="H66" s="4" t="n">
        <v>30</v>
      </c>
      <c r="I66" s="4" t="n">
        <v>67</v>
      </c>
      <c r="J66" s="4" t="n">
        <v>533</v>
      </c>
      <c r="K66" s="4" t="n">
        <f aca="false">IF(G66&lt;=0,"n/a",ROUND(I66/G66,0))</f>
        <v>100</v>
      </c>
      <c r="L66" s="4" t="n">
        <v>0</v>
      </c>
      <c r="M66" s="4" t="n">
        <v>13.3</v>
      </c>
      <c r="N66" s="4" t="n">
        <v>0</v>
      </c>
      <c r="O66" s="4" t="n">
        <v>0</v>
      </c>
      <c r="P66" s="4" t="n">
        <v>0</v>
      </c>
      <c r="Q66" s="4" t="n">
        <f aca="false">O66+P66</f>
        <v>0</v>
      </c>
      <c r="R66" s="4" t="n">
        <v>0</v>
      </c>
      <c r="S66" s="4" t="n">
        <f aca="false">MAX(0,Q66-J66)</f>
        <v>0</v>
      </c>
      <c r="T66" s="4" t="n">
        <f aca="false">IF(G66&lt;=0,"n/a",ROUND((I66+O66)/G66,0))</f>
        <v>100</v>
      </c>
      <c r="U66" s="4" t="s">
        <v>510</v>
      </c>
      <c r="V66" s="4" t="s">
        <v>446</v>
      </c>
    </row>
    <row r="67" customFormat="false" ht="15" hidden="false" customHeight="false" outlineLevel="0" collapsed="false">
      <c r="A67" s="4" t="s">
        <v>559</v>
      </c>
      <c r="B67" s="4" t="s">
        <v>560</v>
      </c>
      <c r="C67" s="4" t="s">
        <v>561</v>
      </c>
      <c r="D67" s="4" t="n">
        <v>4</v>
      </c>
      <c r="E67" s="4" t="n">
        <v>5</v>
      </c>
      <c r="F67" s="6" t="n">
        <f aca="false">IF((D67+E67)=0,0,E67/(D67+E67))</f>
        <v>0.555555555555556</v>
      </c>
      <c r="G67" s="4" t="n">
        <v>0.6</v>
      </c>
      <c r="H67" s="4" t="n">
        <v>27</v>
      </c>
      <c r="I67" s="4" t="n">
        <v>41</v>
      </c>
      <c r="J67" s="4" t="n">
        <v>708</v>
      </c>
      <c r="K67" s="4" t="n">
        <f aca="false">IF(G67&lt;=0,"n/a",ROUND(I67/G67,0))</f>
        <v>68</v>
      </c>
      <c r="L67" s="4" t="n">
        <v>18</v>
      </c>
      <c r="M67" s="4" t="n">
        <v>42.7</v>
      </c>
      <c r="N67" s="4" t="n">
        <v>0</v>
      </c>
      <c r="O67" s="4" t="n">
        <v>0</v>
      </c>
      <c r="P67" s="4" t="n">
        <v>0</v>
      </c>
      <c r="Q67" s="4" t="n">
        <f aca="false">O67+P67</f>
        <v>0</v>
      </c>
      <c r="R67" s="4" t="n">
        <v>0</v>
      </c>
      <c r="S67" s="4" t="n">
        <f aca="false">MAX(0,Q67-J67)</f>
        <v>0</v>
      </c>
      <c r="T67" s="4" t="n">
        <f aca="false">IF(G67&lt;=0,"n/a",ROUND((I67+O67)/G67,0))</f>
        <v>68</v>
      </c>
      <c r="U67" s="4" t="s">
        <v>447</v>
      </c>
      <c r="V67" s="4" t="s">
        <v>446</v>
      </c>
    </row>
    <row r="68" customFormat="false" ht="15" hidden="false" customHeight="false" outlineLevel="0" collapsed="false">
      <c r="A68" s="4" t="s">
        <v>113</v>
      </c>
      <c r="B68" s="4" t="s">
        <v>114</v>
      </c>
      <c r="C68" s="4" t="s">
        <v>115</v>
      </c>
      <c r="D68" s="4" t="n">
        <v>10</v>
      </c>
      <c r="E68" s="4" t="n">
        <v>27</v>
      </c>
      <c r="F68" s="6" t="n">
        <f aca="false">IF((D68+E68)=0,0,E68/(D68+E68))</f>
        <v>0.72972972972973</v>
      </c>
      <c r="G68" s="4" t="n">
        <v>2.47</v>
      </c>
      <c r="H68" s="4" t="n">
        <v>111</v>
      </c>
      <c r="I68" s="4" t="n">
        <v>95</v>
      </c>
      <c r="J68" s="4" t="n">
        <v>508</v>
      </c>
      <c r="K68" s="4" t="n">
        <f aca="false">IF(G68&lt;=0,"n/a",ROUND(I68/G68,0))</f>
        <v>38</v>
      </c>
      <c r="L68" s="4" t="n">
        <v>72</v>
      </c>
      <c r="M68" s="4" t="n">
        <v>49.5</v>
      </c>
      <c r="N68" s="4" t="n">
        <v>22.5</v>
      </c>
      <c r="O68" s="4" t="n">
        <v>10</v>
      </c>
      <c r="P68" s="4" t="n">
        <v>0</v>
      </c>
      <c r="Q68" s="4" t="n">
        <f aca="false">O68+P68</f>
        <v>10</v>
      </c>
      <c r="R68" s="4" t="n">
        <v>0</v>
      </c>
      <c r="S68" s="4" t="n">
        <f aca="false">MAX(0,Q68-J68)</f>
        <v>0</v>
      </c>
      <c r="T68" s="4" t="n">
        <f aca="false">IF(G68&lt;=0,"n/a",ROUND((I68+O68)/G68,0))</f>
        <v>43</v>
      </c>
      <c r="U68" s="4" t="s">
        <v>479</v>
      </c>
      <c r="V68" s="4" t="s">
        <v>448</v>
      </c>
    </row>
    <row r="69" customFormat="false" ht="15" hidden="false" customHeight="false" outlineLevel="0" collapsed="false">
      <c r="A69" s="4" t="s">
        <v>116</v>
      </c>
      <c r="B69" s="4" t="s">
        <v>117</v>
      </c>
      <c r="C69" s="4" t="s">
        <v>118</v>
      </c>
      <c r="D69" s="4" t="n">
        <v>121</v>
      </c>
      <c r="E69" s="4" t="n">
        <v>6</v>
      </c>
      <c r="F69" s="6" t="n">
        <f aca="false">IF((D69+E69)=0,0,E69/(D69+E69))</f>
        <v>0.047244094488189</v>
      </c>
      <c r="G69" s="4" t="n">
        <v>8.47</v>
      </c>
      <c r="H69" s="4" t="n">
        <v>381</v>
      </c>
      <c r="I69" s="4" t="n">
        <v>257</v>
      </c>
      <c r="J69" s="4" t="n">
        <v>996</v>
      </c>
      <c r="K69" s="4" t="n">
        <f aca="false">IF(G69&lt;=0,"n/a",ROUND(I69/G69,0))</f>
        <v>30</v>
      </c>
      <c r="L69" s="4" t="n">
        <v>264</v>
      </c>
      <c r="M69" s="4" t="n">
        <v>145.3</v>
      </c>
      <c r="N69" s="4" t="n">
        <v>118.7</v>
      </c>
      <c r="O69" s="4" t="n">
        <v>48</v>
      </c>
      <c r="P69" s="4" t="n">
        <v>70</v>
      </c>
      <c r="Q69" s="4" t="n">
        <f aca="false">O69+P69</f>
        <v>118</v>
      </c>
      <c r="R69" s="4" t="n">
        <v>0</v>
      </c>
      <c r="S69" s="4" t="n">
        <f aca="false">MAX(0,Q69-J69)</f>
        <v>0</v>
      </c>
      <c r="T69" s="4" t="n">
        <f aca="false">IF(G69&lt;=0,"n/a",ROUND((I69+O69)/G69,0))</f>
        <v>36</v>
      </c>
      <c r="U69" s="4" t="s">
        <v>447</v>
      </c>
      <c r="V69" s="4" t="s">
        <v>438</v>
      </c>
    </row>
    <row r="70" customFormat="false" ht="15" hidden="false" customHeight="false" outlineLevel="0" collapsed="false">
      <c r="A70" s="4" t="s">
        <v>562</v>
      </c>
      <c r="B70" s="4" t="s">
        <v>563</v>
      </c>
      <c r="C70" s="4" t="s">
        <v>564</v>
      </c>
      <c r="D70" s="4" t="n">
        <v>0</v>
      </c>
      <c r="E70" s="4" t="n">
        <v>1</v>
      </c>
      <c r="F70" s="6" t="n">
        <f aca="false">IF((D70+E70)=0,0,E70/(D70+E70))</f>
        <v>1</v>
      </c>
      <c r="G70" s="4" t="n">
        <v>0.07</v>
      </c>
      <c r="H70" s="4" t="n">
        <v>3</v>
      </c>
      <c r="I70" s="4" t="n">
        <v>13</v>
      </c>
      <c r="J70" s="4" t="n">
        <v>108</v>
      </c>
      <c r="K70" s="4" t="n">
        <f aca="false">IF(G70&lt;=0,"n/a",ROUND(I70/G70,0))</f>
        <v>186</v>
      </c>
      <c r="L70" s="4" t="n">
        <v>2</v>
      </c>
      <c r="M70" s="4" t="n">
        <v>0</v>
      </c>
      <c r="N70" s="4" t="n">
        <v>2</v>
      </c>
      <c r="O70" s="4" t="n">
        <v>0</v>
      </c>
      <c r="P70" s="4" t="n">
        <v>0</v>
      </c>
      <c r="Q70" s="4" t="n">
        <f aca="false">O70+P70</f>
        <v>0</v>
      </c>
      <c r="R70" s="4" t="n">
        <v>0</v>
      </c>
      <c r="S70" s="4" t="n">
        <f aca="false">MAX(0,Q70-J70)</f>
        <v>0</v>
      </c>
      <c r="T70" s="4" t="n">
        <f aca="false">IF(G70&lt;=0,"n/a",ROUND((I70+O70)/G70,0))</f>
        <v>186</v>
      </c>
      <c r="U70" s="4" t="s">
        <v>437</v>
      </c>
      <c r="V70" s="4" t="s">
        <v>442</v>
      </c>
    </row>
    <row r="71" customFormat="false" ht="15" hidden="false" customHeight="false" outlineLevel="0" collapsed="false">
      <c r="A71" s="4" t="s">
        <v>565</v>
      </c>
      <c r="B71" s="4" t="s">
        <v>566</v>
      </c>
      <c r="C71" s="4" t="s">
        <v>567</v>
      </c>
      <c r="D71" s="4" t="n">
        <v>3</v>
      </c>
      <c r="E71" s="4" t="n">
        <v>0</v>
      </c>
      <c r="F71" s="6" t="n">
        <f aca="false">IF((D71+E71)=0,0,E71/(D71+E71))</f>
        <v>0</v>
      </c>
      <c r="G71" s="4" t="n">
        <v>0.2</v>
      </c>
      <c r="H71" s="4" t="n">
        <v>9</v>
      </c>
      <c r="I71" s="4" t="n">
        <v>123</v>
      </c>
      <c r="J71" s="4" t="n">
        <v>330</v>
      </c>
      <c r="K71" s="4" t="n">
        <f aca="false">IF(G71&lt;=0,"n/a",ROUND(I71/G71,0))</f>
        <v>615</v>
      </c>
      <c r="L71" s="4" t="n">
        <v>0</v>
      </c>
      <c r="M71" s="4" t="n">
        <v>0</v>
      </c>
      <c r="N71" s="4" t="n">
        <v>0</v>
      </c>
      <c r="O71" s="4" t="n">
        <v>0</v>
      </c>
      <c r="P71" s="4" t="n">
        <v>0</v>
      </c>
      <c r="Q71" s="4" t="n">
        <f aca="false">O71+P71</f>
        <v>0</v>
      </c>
      <c r="R71" s="4" t="n">
        <v>0</v>
      </c>
      <c r="S71" s="4" t="n">
        <f aca="false">MAX(0,Q71-J71)</f>
        <v>0</v>
      </c>
      <c r="T71" s="4" t="n">
        <f aca="false">IF(G71&lt;=0,"n/a",ROUND((I71+O71)/G71,0))</f>
        <v>615</v>
      </c>
      <c r="U71" s="4" t="s">
        <v>510</v>
      </c>
      <c r="V71" s="4" t="s">
        <v>446</v>
      </c>
    </row>
    <row r="72" customFormat="false" ht="15" hidden="false" customHeight="false" outlineLevel="0" collapsed="false">
      <c r="A72" s="4" t="s">
        <v>119</v>
      </c>
      <c r="B72" s="4" t="s">
        <v>120</v>
      </c>
      <c r="C72" s="4" t="s">
        <v>121</v>
      </c>
      <c r="D72" s="4" t="n">
        <v>5</v>
      </c>
      <c r="E72" s="4" t="n">
        <v>6</v>
      </c>
      <c r="F72" s="6" t="n">
        <f aca="false">IF((D72+E72)=0,0,E72/(D72+E72))</f>
        <v>0.545454545454545</v>
      </c>
      <c r="G72" s="4" t="n">
        <v>0.73</v>
      </c>
      <c r="H72" s="4" t="n">
        <v>33</v>
      </c>
      <c r="I72" s="4" t="n">
        <v>1</v>
      </c>
      <c r="J72" s="4" t="n">
        <v>518</v>
      </c>
      <c r="K72" s="4" t="n">
        <f aca="false">IF(G72&lt;=0,"n/a",ROUND(I72/G72,0))</f>
        <v>1</v>
      </c>
      <c r="L72" s="4" t="n">
        <v>32</v>
      </c>
      <c r="M72" s="4" t="n">
        <v>30.2</v>
      </c>
      <c r="N72" s="4" t="n">
        <v>1.8</v>
      </c>
      <c r="O72" s="4" t="n">
        <v>4</v>
      </c>
      <c r="P72" s="4" t="n">
        <v>0</v>
      </c>
      <c r="Q72" s="4" t="n">
        <f aca="false">O72+P72</f>
        <v>4</v>
      </c>
      <c r="R72" s="4" t="n">
        <v>0</v>
      </c>
      <c r="S72" s="4" t="n">
        <f aca="false">MAX(0,Q72-J72)</f>
        <v>0</v>
      </c>
      <c r="T72" s="4" t="n">
        <f aca="false">IF(G72&lt;=0,"n/a",ROUND((I72+O72)/G72,0))</f>
        <v>7</v>
      </c>
      <c r="U72" s="4" t="s">
        <v>447</v>
      </c>
      <c r="V72" s="4" t="s">
        <v>448</v>
      </c>
    </row>
    <row r="73" customFormat="false" ht="15" hidden="false" customHeight="false" outlineLevel="0" collapsed="false">
      <c r="A73" s="4" t="s">
        <v>568</v>
      </c>
      <c r="B73" s="4" t="s">
        <v>569</v>
      </c>
      <c r="C73" s="4" t="s">
        <v>570</v>
      </c>
      <c r="D73" s="4" t="n">
        <v>4</v>
      </c>
      <c r="E73" s="4" t="n">
        <v>2</v>
      </c>
      <c r="F73" s="6" t="n">
        <f aca="false">IF((D73+E73)=0,0,E73/(D73+E73))</f>
        <v>0.333333333333333</v>
      </c>
      <c r="G73" s="4" t="n">
        <v>0.4</v>
      </c>
      <c r="H73" s="4" t="n">
        <v>18</v>
      </c>
      <c r="I73" s="4" t="n">
        <v>15</v>
      </c>
      <c r="J73" s="4" t="n">
        <v>193</v>
      </c>
      <c r="K73" s="4" t="n">
        <f aca="false">IF(G73&lt;=0,"n/a",ROUND(I73/G73,0))</f>
        <v>38</v>
      </c>
      <c r="L73" s="4" t="n">
        <v>8</v>
      </c>
      <c r="M73" s="4" t="n">
        <v>10.5</v>
      </c>
      <c r="N73" s="4" t="n">
        <v>0</v>
      </c>
      <c r="O73" s="4" t="n">
        <v>0</v>
      </c>
      <c r="P73" s="4" t="n">
        <v>0</v>
      </c>
      <c r="Q73" s="4" t="n">
        <f aca="false">O73+P73</f>
        <v>0</v>
      </c>
      <c r="R73" s="4" t="n">
        <v>0</v>
      </c>
      <c r="S73" s="4" t="n">
        <f aca="false">MAX(0,Q73-J73)</f>
        <v>0</v>
      </c>
      <c r="T73" s="4" t="n">
        <f aca="false">IF(G73&lt;=0,"n/a",ROUND((I73+O73)/G73,0))</f>
        <v>38</v>
      </c>
      <c r="U73" s="4" t="s">
        <v>447</v>
      </c>
      <c r="V73" s="4" t="s">
        <v>446</v>
      </c>
    </row>
    <row r="74" customFormat="false" ht="15" hidden="false" customHeight="false" outlineLevel="0" collapsed="false">
      <c r="A74" s="4" t="s">
        <v>571</v>
      </c>
      <c r="B74" s="4" t="s">
        <v>572</v>
      </c>
      <c r="C74" s="4" t="s">
        <v>573</v>
      </c>
      <c r="D74" s="4" t="n">
        <v>0</v>
      </c>
      <c r="E74" s="4" t="n">
        <v>9</v>
      </c>
      <c r="F74" s="6" t="n">
        <f aca="false">IF((D74+E74)=0,0,E74/(D74+E74))</f>
        <v>1</v>
      </c>
      <c r="G74" s="4" t="n">
        <v>0.6</v>
      </c>
      <c r="H74" s="4" t="n">
        <v>27</v>
      </c>
      <c r="I74" s="4" t="n">
        <v>0</v>
      </c>
      <c r="J74" s="4" t="n">
        <v>113</v>
      </c>
      <c r="K74" s="4" t="n">
        <f aca="false">IF(G74&lt;=0,"n/a",ROUND(I74/G74,0))</f>
        <v>0</v>
      </c>
      <c r="L74" s="4" t="n">
        <v>27</v>
      </c>
      <c r="M74" s="4" t="n">
        <v>0</v>
      </c>
      <c r="N74" s="4" t="n">
        <v>27</v>
      </c>
      <c r="O74" s="4" t="n">
        <v>0</v>
      </c>
      <c r="P74" s="4" t="n">
        <v>0</v>
      </c>
      <c r="Q74" s="4" t="n">
        <f aca="false">O74+P74</f>
        <v>0</v>
      </c>
      <c r="R74" s="4" t="n">
        <v>0</v>
      </c>
      <c r="S74" s="4" t="n">
        <f aca="false">MAX(0,Q74-J74)</f>
        <v>0</v>
      </c>
      <c r="T74" s="4" t="n">
        <f aca="false">IF(G74&lt;=0,"n/a",ROUND((I74+O74)/G74,0))</f>
        <v>0</v>
      </c>
      <c r="U74" s="4" t="s">
        <v>437</v>
      </c>
      <c r="V74" s="4" t="s">
        <v>442</v>
      </c>
    </row>
    <row r="75" customFormat="false" ht="15" hidden="false" customHeight="false" outlineLevel="0" collapsed="false">
      <c r="A75" s="4" t="s">
        <v>122</v>
      </c>
      <c r="B75" s="4" t="s">
        <v>123</v>
      </c>
      <c r="C75" s="4" t="s">
        <v>124</v>
      </c>
      <c r="D75" s="4" t="n">
        <v>1</v>
      </c>
      <c r="E75" s="4" t="n">
        <v>4</v>
      </c>
      <c r="F75" s="6" t="n">
        <f aca="false">IF((D75+E75)=0,0,E75/(D75+E75))</f>
        <v>0.8</v>
      </c>
      <c r="G75" s="4" t="n">
        <v>0.33</v>
      </c>
      <c r="H75" s="4" t="n">
        <v>15</v>
      </c>
      <c r="I75" s="4" t="n">
        <v>9</v>
      </c>
      <c r="J75" s="4" t="n">
        <v>512</v>
      </c>
      <c r="K75" s="4" t="n">
        <f aca="false">IF(G75&lt;=0,"n/a",ROUND(I75/G75,0))</f>
        <v>27</v>
      </c>
      <c r="L75" s="4" t="n">
        <v>15</v>
      </c>
      <c r="M75" s="4" t="n">
        <v>4.2</v>
      </c>
      <c r="N75" s="4" t="n">
        <v>10.8</v>
      </c>
      <c r="O75" s="4" t="n">
        <v>2</v>
      </c>
      <c r="P75" s="4" t="n">
        <v>9</v>
      </c>
      <c r="Q75" s="4" t="n">
        <f aca="false">O75+P75</f>
        <v>11</v>
      </c>
      <c r="R75" s="4" t="n">
        <v>0</v>
      </c>
      <c r="S75" s="4" t="n">
        <f aca="false">MAX(0,Q75-J75)</f>
        <v>0</v>
      </c>
      <c r="T75" s="4" t="n">
        <f aca="false">IF(G75&lt;=0,"n/a",ROUND((I75+O75)/G75,0))</f>
        <v>33</v>
      </c>
      <c r="U75" s="4" t="s">
        <v>437</v>
      </c>
      <c r="V75" s="4" t="s">
        <v>438</v>
      </c>
    </row>
    <row r="76" customFormat="false" ht="15" hidden="false" customHeight="false" outlineLevel="0" collapsed="false">
      <c r="A76" s="4" t="s">
        <v>125</v>
      </c>
      <c r="B76" s="4" t="s">
        <v>126</v>
      </c>
      <c r="C76" s="4" t="s">
        <v>127</v>
      </c>
      <c r="D76" s="4" t="n">
        <v>6</v>
      </c>
      <c r="E76" s="4" t="n">
        <v>5</v>
      </c>
      <c r="F76" s="6" t="n">
        <f aca="false">IF((D76+E76)=0,0,E76/(D76+E76))</f>
        <v>0.454545454545455</v>
      </c>
      <c r="G76" s="4" t="n">
        <v>0.73</v>
      </c>
      <c r="H76" s="4" t="n">
        <v>33</v>
      </c>
      <c r="I76" s="4" t="n">
        <v>9</v>
      </c>
      <c r="J76" s="4" t="n">
        <v>519</v>
      </c>
      <c r="K76" s="4" t="n">
        <f aca="false">IF(G76&lt;=0,"n/a",ROUND(I76/G76,0))</f>
        <v>12</v>
      </c>
      <c r="L76" s="4" t="n">
        <v>33</v>
      </c>
      <c r="M76" s="4" t="n">
        <v>11</v>
      </c>
      <c r="N76" s="4" t="n">
        <v>22</v>
      </c>
      <c r="O76" s="4" t="n">
        <v>2</v>
      </c>
      <c r="P76" s="4" t="n">
        <v>10</v>
      </c>
      <c r="Q76" s="4" t="n">
        <f aca="false">O76+P76</f>
        <v>12</v>
      </c>
      <c r="R76" s="4" t="n">
        <v>0</v>
      </c>
      <c r="S76" s="4" t="n">
        <f aca="false">MAX(0,Q76-J76)</f>
        <v>0</v>
      </c>
      <c r="T76" s="4" t="n">
        <f aca="false">IF(G76&lt;=0,"n/a",ROUND((I76+O76)/G76,0))</f>
        <v>15</v>
      </c>
      <c r="U76" s="4" t="s">
        <v>447</v>
      </c>
      <c r="V76" s="4" t="s">
        <v>438</v>
      </c>
    </row>
    <row r="77" customFormat="false" ht="15" hidden="false" customHeight="false" outlineLevel="0" collapsed="false">
      <c r="A77" s="4" t="s">
        <v>574</v>
      </c>
      <c r="B77" s="4" t="s">
        <v>575</v>
      </c>
      <c r="C77" s="4" t="s">
        <v>576</v>
      </c>
      <c r="D77" s="4" t="n">
        <v>4</v>
      </c>
      <c r="E77" s="4" t="n">
        <v>2</v>
      </c>
      <c r="F77" s="6" t="n">
        <f aca="false">IF((D77+E77)=0,0,E77/(D77+E77))</f>
        <v>0.333333333333333</v>
      </c>
      <c r="G77" s="4" t="n">
        <v>0.4</v>
      </c>
      <c r="H77" s="4" t="n">
        <v>18</v>
      </c>
      <c r="I77" s="4" t="n">
        <v>14</v>
      </c>
      <c r="J77" s="4" t="n">
        <v>372</v>
      </c>
      <c r="K77" s="4" t="n">
        <f aca="false">IF(G77&lt;=0,"n/a",ROUND(I77/G77,0))</f>
        <v>35</v>
      </c>
      <c r="L77" s="4" t="n">
        <v>18</v>
      </c>
      <c r="M77" s="4" t="n">
        <v>22.1</v>
      </c>
      <c r="N77" s="4" t="n">
        <v>0</v>
      </c>
      <c r="O77" s="4" t="n">
        <v>0</v>
      </c>
      <c r="P77" s="4" t="n">
        <v>0</v>
      </c>
      <c r="Q77" s="4" t="n">
        <f aca="false">O77+P77</f>
        <v>0</v>
      </c>
      <c r="R77" s="4" t="n">
        <v>0</v>
      </c>
      <c r="S77" s="4" t="n">
        <f aca="false">MAX(0,Q77-J77)</f>
        <v>0</v>
      </c>
      <c r="T77" s="4" t="n">
        <f aca="false">IF(G77&lt;=0,"n/a",ROUND((I77+O77)/G77,0))</f>
        <v>35</v>
      </c>
      <c r="U77" s="4" t="s">
        <v>447</v>
      </c>
      <c r="V77" s="4" t="s">
        <v>446</v>
      </c>
    </row>
    <row r="78" customFormat="false" ht="15" hidden="false" customHeight="false" outlineLevel="0" collapsed="false">
      <c r="A78" s="4" t="s">
        <v>577</v>
      </c>
      <c r="B78" s="4" t="s">
        <v>578</v>
      </c>
      <c r="C78" s="4" t="s">
        <v>579</v>
      </c>
      <c r="D78" s="4" t="n">
        <v>2</v>
      </c>
      <c r="E78" s="4" t="n">
        <v>1</v>
      </c>
      <c r="F78" s="6" t="n">
        <f aca="false">IF((D78+E78)=0,0,E78/(D78+E78))</f>
        <v>0.333333333333333</v>
      </c>
      <c r="G78" s="4" t="n">
        <v>0.2</v>
      </c>
      <c r="H78" s="4" t="n">
        <v>9</v>
      </c>
      <c r="I78" s="4" t="n">
        <v>13</v>
      </c>
      <c r="J78" s="4" t="n">
        <v>400</v>
      </c>
      <c r="K78" s="4" t="n">
        <f aca="false">IF(G78&lt;=0,"n/a",ROUND(I78/G78,0))</f>
        <v>65</v>
      </c>
      <c r="L78" s="4" t="n">
        <v>8</v>
      </c>
      <c r="M78" s="4" t="n">
        <v>14.4</v>
      </c>
      <c r="N78" s="4" t="n">
        <v>0</v>
      </c>
      <c r="O78" s="4" t="n">
        <v>0</v>
      </c>
      <c r="P78" s="4" t="n">
        <v>0</v>
      </c>
      <c r="Q78" s="4" t="n">
        <f aca="false">O78+P78</f>
        <v>0</v>
      </c>
      <c r="R78" s="4" t="n">
        <v>0</v>
      </c>
      <c r="S78" s="4" t="n">
        <f aca="false">MAX(0,Q78-J78)</f>
        <v>0</v>
      </c>
      <c r="T78" s="4" t="n">
        <f aca="false">IF(G78&lt;=0,"n/a",ROUND((I78+O78)/G78,0))</f>
        <v>65</v>
      </c>
      <c r="U78" s="4" t="s">
        <v>437</v>
      </c>
      <c r="V78" s="4" t="s">
        <v>446</v>
      </c>
    </row>
    <row r="79" customFormat="false" ht="15" hidden="false" customHeight="false" outlineLevel="0" collapsed="false">
      <c r="A79" s="4" t="s">
        <v>580</v>
      </c>
      <c r="B79" s="4" t="s">
        <v>581</v>
      </c>
      <c r="C79" s="4" t="s">
        <v>582</v>
      </c>
      <c r="D79" s="4" t="n">
        <v>0</v>
      </c>
      <c r="E79" s="4" t="n">
        <v>3</v>
      </c>
      <c r="F79" s="6" t="n">
        <f aca="false">IF((D79+E79)=0,0,E79/(D79+E79))</f>
        <v>1</v>
      </c>
      <c r="G79" s="4" t="n">
        <v>0.2</v>
      </c>
      <c r="H79" s="4" t="n">
        <v>9</v>
      </c>
      <c r="I79" s="4" t="n">
        <v>10</v>
      </c>
      <c r="J79" s="4" t="n">
        <v>461</v>
      </c>
      <c r="K79" s="4" t="n">
        <f aca="false">IF(G79&lt;=0,"n/a",ROUND(I79/G79,0))</f>
        <v>50</v>
      </c>
      <c r="L79" s="4" t="n">
        <v>8</v>
      </c>
      <c r="M79" s="4" t="n">
        <v>23.8</v>
      </c>
      <c r="N79" s="4" t="n">
        <v>0</v>
      </c>
      <c r="O79" s="4" t="n">
        <v>0</v>
      </c>
      <c r="P79" s="4" t="n">
        <v>0</v>
      </c>
      <c r="Q79" s="4" t="n">
        <f aca="false">O79+P79</f>
        <v>0</v>
      </c>
      <c r="R79" s="4" t="n">
        <v>0</v>
      </c>
      <c r="S79" s="4" t="n">
        <f aca="false">MAX(0,Q79-J79)</f>
        <v>0</v>
      </c>
      <c r="T79" s="4" t="n">
        <f aca="false">IF(G79&lt;=0,"n/a",ROUND((I79+O79)/G79,0))</f>
        <v>50</v>
      </c>
      <c r="U79" s="4" t="s">
        <v>437</v>
      </c>
      <c r="V79" s="4" t="s">
        <v>446</v>
      </c>
    </row>
    <row r="80" customFormat="false" ht="15" hidden="false" customHeight="false" outlineLevel="0" collapsed="false">
      <c r="A80" s="4" t="s">
        <v>583</v>
      </c>
      <c r="B80" s="4" t="s">
        <v>584</v>
      </c>
      <c r="C80" s="4" t="s">
        <v>585</v>
      </c>
      <c r="D80" s="4" t="n">
        <v>2</v>
      </c>
      <c r="E80" s="4" t="n">
        <v>0</v>
      </c>
      <c r="F80" s="6" t="n">
        <f aca="false">IF((D80+E80)=0,0,E80/(D80+E80))</f>
        <v>0</v>
      </c>
      <c r="G80" s="4" t="n">
        <v>0.13</v>
      </c>
      <c r="H80" s="4" t="n">
        <v>6</v>
      </c>
      <c r="I80" s="4" t="n">
        <v>19</v>
      </c>
      <c r="J80" s="4" t="n">
        <v>81</v>
      </c>
      <c r="K80" s="4" t="n">
        <f aca="false">IF(G80&lt;=0,"n/a",ROUND(I80/G80,0))</f>
        <v>146</v>
      </c>
      <c r="L80" s="4" t="n">
        <v>6</v>
      </c>
      <c r="M80" s="4" t="n">
        <v>14.1</v>
      </c>
      <c r="N80" s="4" t="n">
        <v>0</v>
      </c>
      <c r="O80" s="4" t="n">
        <v>0</v>
      </c>
      <c r="P80" s="4" t="n">
        <v>0</v>
      </c>
      <c r="Q80" s="4" t="n">
        <f aca="false">O80+P80</f>
        <v>0</v>
      </c>
      <c r="R80" s="4" t="n">
        <v>0</v>
      </c>
      <c r="S80" s="4" t="n">
        <f aca="false">MAX(0,Q80-J80)</f>
        <v>0</v>
      </c>
      <c r="T80" s="4" t="n">
        <f aca="false">IF(G80&lt;=0,"n/a",ROUND((I80+O80)/G80,0))</f>
        <v>146</v>
      </c>
      <c r="U80" s="4" t="s">
        <v>437</v>
      </c>
      <c r="V80" s="4" t="s">
        <v>446</v>
      </c>
    </row>
    <row r="81" customFormat="false" ht="15" hidden="false" customHeight="false" outlineLevel="0" collapsed="false">
      <c r="A81" s="4" t="s">
        <v>586</v>
      </c>
      <c r="B81" s="4" t="s">
        <v>587</v>
      </c>
      <c r="C81" s="4" t="s">
        <v>588</v>
      </c>
      <c r="D81" s="4" t="n">
        <v>2</v>
      </c>
      <c r="E81" s="4" t="n">
        <v>1</v>
      </c>
      <c r="F81" s="6" t="n">
        <f aca="false">IF((D81+E81)=0,0,E81/(D81+E81))</f>
        <v>0.333333333333333</v>
      </c>
      <c r="G81" s="4" t="n">
        <v>0.2</v>
      </c>
      <c r="H81" s="4" t="n">
        <v>9</v>
      </c>
      <c r="I81" s="4" t="n">
        <v>5</v>
      </c>
      <c r="J81" s="4" t="n">
        <v>46</v>
      </c>
      <c r="K81" s="4" t="n">
        <f aca="false">IF(G81&lt;=0,"n/a",ROUND(I81/G81,0))</f>
        <v>25</v>
      </c>
      <c r="L81" s="4" t="n">
        <v>9</v>
      </c>
      <c r="M81" s="4" t="n">
        <v>34.8</v>
      </c>
      <c r="N81" s="4" t="n">
        <v>0</v>
      </c>
      <c r="O81" s="4" t="n">
        <v>0</v>
      </c>
      <c r="P81" s="4" t="n">
        <v>0</v>
      </c>
      <c r="Q81" s="4" t="n">
        <f aca="false">O81+P81</f>
        <v>0</v>
      </c>
      <c r="R81" s="4" t="n">
        <v>0</v>
      </c>
      <c r="S81" s="4" t="n">
        <f aca="false">MAX(0,Q81-J81)</f>
        <v>0</v>
      </c>
      <c r="T81" s="4" t="n">
        <f aca="false">IF(G81&lt;=0,"n/a",ROUND((I81+O81)/G81,0))</f>
        <v>25</v>
      </c>
      <c r="U81" s="4" t="s">
        <v>437</v>
      </c>
      <c r="V81" s="4" t="s">
        <v>446</v>
      </c>
    </row>
    <row r="82" customFormat="false" ht="15" hidden="false" customHeight="false" outlineLevel="0" collapsed="false">
      <c r="A82" s="4" t="s">
        <v>589</v>
      </c>
      <c r="B82" s="4" t="s">
        <v>590</v>
      </c>
      <c r="C82" s="4" t="s">
        <v>591</v>
      </c>
      <c r="D82" s="4" t="n">
        <v>0</v>
      </c>
      <c r="E82" s="4" t="n">
        <v>1</v>
      </c>
      <c r="F82" s="6" t="n">
        <f aca="false">IF((D82+E82)=0,0,E82/(D82+E82))</f>
        <v>1</v>
      </c>
      <c r="G82" s="4" t="n">
        <v>0.07</v>
      </c>
      <c r="H82" s="4" t="n">
        <v>3</v>
      </c>
      <c r="I82" s="4" t="n">
        <v>0</v>
      </c>
      <c r="J82" s="4" t="n">
        <v>92</v>
      </c>
      <c r="K82" s="4" t="n">
        <f aca="false">IF(G82&lt;=0,"n/a",ROUND(I82/G82,0))</f>
        <v>0</v>
      </c>
      <c r="L82" s="4" t="n">
        <v>3</v>
      </c>
      <c r="M82" s="4" t="n">
        <v>0</v>
      </c>
      <c r="N82" s="4" t="n">
        <v>3</v>
      </c>
      <c r="O82" s="4" t="n">
        <v>0</v>
      </c>
      <c r="P82" s="4" t="n">
        <v>0</v>
      </c>
      <c r="Q82" s="4" t="n">
        <f aca="false">O82+P82</f>
        <v>0</v>
      </c>
      <c r="R82" s="4" t="n">
        <v>0</v>
      </c>
      <c r="S82" s="4" t="n">
        <f aca="false">MAX(0,Q82-J82)</f>
        <v>0</v>
      </c>
      <c r="T82" s="4" t="n">
        <f aca="false">IF(G82&lt;=0,"n/a",ROUND((I82+O82)/G82,0))</f>
        <v>0</v>
      </c>
      <c r="U82" s="4" t="s">
        <v>437</v>
      </c>
      <c r="V82" s="4" t="s">
        <v>442</v>
      </c>
    </row>
    <row r="83" customFormat="false" ht="15" hidden="false" customHeight="false" outlineLevel="0" collapsed="false">
      <c r="A83" s="4" t="s">
        <v>128</v>
      </c>
      <c r="B83" s="4" t="s">
        <v>129</v>
      </c>
      <c r="C83" s="4" t="s">
        <v>130</v>
      </c>
      <c r="D83" s="4" t="n">
        <v>15</v>
      </c>
      <c r="E83" s="4" t="n">
        <v>29</v>
      </c>
      <c r="F83" s="6" t="n">
        <f aca="false">IF((D83+E83)=0,0,E83/(D83+E83))</f>
        <v>0.659090909090909</v>
      </c>
      <c r="G83" s="4" t="n">
        <v>2.93</v>
      </c>
      <c r="H83" s="4" t="n">
        <v>132</v>
      </c>
      <c r="I83" s="4" t="n">
        <v>16</v>
      </c>
      <c r="J83" s="4" t="n">
        <v>462</v>
      </c>
      <c r="K83" s="4" t="n">
        <f aca="false">IF(G83&lt;=0,"n/a",ROUND(I83/G83,0))</f>
        <v>5</v>
      </c>
      <c r="L83" s="4" t="n">
        <v>123.4</v>
      </c>
      <c r="M83" s="4" t="n">
        <v>82.3</v>
      </c>
      <c r="N83" s="4" t="n">
        <v>41.1</v>
      </c>
      <c r="O83" s="4" t="n">
        <v>11</v>
      </c>
      <c r="P83" s="4" t="n">
        <v>13</v>
      </c>
      <c r="Q83" s="4" t="n">
        <f aca="false">O83+P83</f>
        <v>24</v>
      </c>
      <c r="R83" s="4" t="n">
        <v>0</v>
      </c>
      <c r="S83" s="4" t="n">
        <f aca="false">MAX(0,Q83-J83)</f>
        <v>0</v>
      </c>
      <c r="T83" s="4" t="n">
        <f aca="false">IF(G83&lt;=0,"n/a",ROUND((I83+O83)/G83,0))</f>
        <v>9</v>
      </c>
      <c r="U83" s="4" t="s">
        <v>479</v>
      </c>
      <c r="V83" s="4" t="s">
        <v>438</v>
      </c>
    </row>
    <row r="84" customFormat="false" ht="15" hidden="false" customHeight="false" outlineLevel="0" collapsed="false">
      <c r="A84" s="4" t="s">
        <v>131</v>
      </c>
      <c r="B84" s="4" t="s">
        <v>132</v>
      </c>
      <c r="C84" s="4" t="s">
        <v>133</v>
      </c>
      <c r="D84" s="4" t="n">
        <v>82</v>
      </c>
      <c r="E84" s="4" t="n">
        <v>24</v>
      </c>
      <c r="F84" s="6" t="n">
        <f aca="false">IF((D84+E84)=0,0,E84/(D84+E84))</f>
        <v>0.226415094339623</v>
      </c>
      <c r="G84" s="4" t="n">
        <v>7.07</v>
      </c>
      <c r="H84" s="4" t="n">
        <v>318</v>
      </c>
      <c r="I84" s="4" t="n">
        <v>54</v>
      </c>
      <c r="J84" s="4" t="n">
        <v>966</v>
      </c>
      <c r="K84" s="4" t="n">
        <f aca="false">IF(G84&lt;=0,"n/a",ROUND(I84/G84,0))</f>
        <v>8</v>
      </c>
      <c r="L84" s="4" t="n">
        <v>276</v>
      </c>
      <c r="M84" s="4" t="n">
        <v>243.5</v>
      </c>
      <c r="N84" s="4" t="n">
        <v>32.5</v>
      </c>
      <c r="O84" s="4" t="n">
        <v>22</v>
      </c>
      <c r="P84" s="4" t="n">
        <v>11</v>
      </c>
      <c r="Q84" s="4" t="n">
        <f aca="false">O84+P84</f>
        <v>33</v>
      </c>
      <c r="R84" s="4" t="n">
        <v>0</v>
      </c>
      <c r="S84" s="4" t="n">
        <f aca="false">MAX(0,Q84-J84)</f>
        <v>0</v>
      </c>
      <c r="T84" s="4" t="n">
        <f aca="false">IF(G84&lt;=0,"n/a",ROUND((I84+O84)/G84,0))</f>
        <v>11</v>
      </c>
      <c r="U84" s="4" t="s">
        <v>479</v>
      </c>
      <c r="V84" s="4" t="s">
        <v>438</v>
      </c>
    </row>
    <row r="85" customFormat="false" ht="15" hidden="false" customHeight="false" outlineLevel="0" collapsed="false">
      <c r="A85" s="4" t="s">
        <v>592</v>
      </c>
      <c r="B85" s="4" t="s">
        <v>593</v>
      </c>
      <c r="C85" s="4" t="s">
        <v>594</v>
      </c>
      <c r="D85" s="4" t="n">
        <v>0</v>
      </c>
      <c r="E85" s="4" t="n">
        <v>19</v>
      </c>
      <c r="F85" s="6" t="n">
        <f aca="false">IF((D85+E85)=0,0,E85/(D85+E85))</f>
        <v>1</v>
      </c>
      <c r="G85" s="4" t="n">
        <v>1.27</v>
      </c>
      <c r="H85" s="4" t="n">
        <v>57</v>
      </c>
      <c r="I85" s="4" t="n">
        <v>0</v>
      </c>
      <c r="J85" s="4" t="n">
        <v>587</v>
      </c>
      <c r="K85" s="4" t="n">
        <f aca="false">IF(G85&lt;=0,"n/a",ROUND(I85/G85,0))</f>
        <v>0</v>
      </c>
      <c r="L85" s="4" t="n">
        <v>57</v>
      </c>
      <c r="M85" s="4" t="n">
        <v>14</v>
      </c>
      <c r="N85" s="4" t="n">
        <v>43</v>
      </c>
      <c r="O85" s="4" t="n">
        <v>0</v>
      </c>
      <c r="P85" s="4" t="n">
        <v>0</v>
      </c>
      <c r="Q85" s="4" t="n">
        <f aca="false">O85+P85</f>
        <v>0</v>
      </c>
      <c r="R85" s="4" t="n">
        <v>0</v>
      </c>
      <c r="S85" s="4" t="n">
        <f aca="false">MAX(0,Q85-J85)</f>
        <v>0</v>
      </c>
      <c r="T85" s="4" t="n">
        <f aca="false">IF(G85&lt;=0,"n/a",ROUND((I85+O85)/G85,0))</f>
        <v>0</v>
      </c>
      <c r="U85" s="4" t="s">
        <v>437</v>
      </c>
      <c r="V85" s="4" t="s">
        <v>442</v>
      </c>
    </row>
    <row r="86" customFormat="false" ht="15" hidden="false" customHeight="false" outlineLevel="0" collapsed="false">
      <c r="A86" s="4" t="s">
        <v>134</v>
      </c>
      <c r="B86" s="4" t="s">
        <v>135</v>
      </c>
      <c r="C86" s="4" t="s">
        <v>136</v>
      </c>
      <c r="D86" s="4" t="n">
        <v>34</v>
      </c>
      <c r="E86" s="4" t="n">
        <v>5</v>
      </c>
      <c r="F86" s="6" t="n">
        <f aca="false">IF((D86+E86)=0,0,E86/(D86+E86))</f>
        <v>0.128205128205128</v>
      </c>
      <c r="G86" s="4" t="n">
        <v>2.6</v>
      </c>
      <c r="H86" s="4" t="n">
        <v>117</v>
      </c>
      <c r="I86" s="4" t="n">
        <v>31</v>
      </c>
      <c r="J86" s="4" t="n">
        <v>548</v>
      </c>
      <c r="K86" s="4" t="n">
        <f aca="false">IF(G86&lt;=0,"n/a",ROUND(I86/G86,0))</f>
        <v>12</v>
      </c>
      <c r="L86" s="4" t="n">
        <v>93</v>
      </c>
      <c r="M86" s="4" t="n">
        <v>33.8</v>
      </c>
      <c r="N86" s="4" t="n">
        <v>59.2</v>
      </c>
      <c r="O86" s="4" t="n">
        <v>28</v>
      </c>
      <c r="P86" s="4" t="n">
        <v>24</v>
      </c>
      <c r="Q86" s="4" t="n">
        <f aca="false">O86+P86</f>
        <v>52</v>
      </c>
      <c r="R86" s="4" t="n">
        <v>0</v>
      </c>
      <c r="S86" s="4" t="n">
        <f aca="false">MAX(0,Q86-J86)</f>
        <v>0</v>
      </c>
      <c r="T86" s="4" t="n">
        <f aca="false">IF(G86&lt;=0,"n/a",ROUND((I86+O86)/G86,0))</f>
        <v>23</v>
      </c>
      <c r="U86" s="4" t="s">
        <v>447</v>
      </c>
      <c r="V86" s="4" t="s">
        <v>438</v>
      </c>
    </row>
    <row r="87" customFormat="false" ht="15" hidden="false" customHeight="false" outlineLevel="0" collapsed="false">
      <c r="A87" s="4" t="s">
        <v>595</v>
      </c>
      <c r="B87" s="4" t="s">
        <v>596</v>
      </c>
      <c r="C87" s="4" t="s">
        <v>597</v>
      </c>
      <c r="D87" s="4" t="n">
        <v>2</v>
      </c>
      <c r="E87" s="4" t="n">
        <v>9</v>
      </c>
      <c r="F87" s="6" t="n">
        <f aca="false">IF((D87+E87)=0,0,E87/(D87+E87))</f>
        <v>0.818181818181818</v>
      </c>
      <c r="G87" s="4" t="n">
        <v>0.73</v>
      </c>
      <c r="H87" s="4" t="n">
        <v>33</v>
      </c>
      <c r="I87" s="4" t="n">
        <v>2</v>
      </c>
      <c r="J87" s="4" t="n">
        <v>560</v>
      </c>
      <c r="K87" s="4" t="n">
        <f aca="false">IF(G87&lt;=0,"n/a",ROUND(I87/G87,0))</f>
        <v>3</v>
      </c>
      <c r="L87" s="4" t="n">
        <v>33</v>
      </c>
      <c r="M87" s="4" t="n">
        <v>45.4</v>
      </c>
      <c r="N87" s="4" t="n">
        <v>0</v>
      </c>
      <c r="O87" s="4" t="n">
        <v>0</v>
      </c>
      <c r="P87" s="4" t="n">
        <v>0</v>
      </c>
      <c r="Q87" s="4" t="n">
        <f aca="false">O87+P87</f>
        <v>0</v>
      </c>
      <c r="R87" s="4" t="n">
        <v>0</v>
      </c>
      <c r="S87" s="4" t="n">
        <f aca="false">MAX(0,Q87-J87)</f>
        <v>0</v>
      </c>
      <c r="T87" s="4" t="n">
        <f aca="false">IF(G87&lt;=0,"n/a",ROUND((I87+O87)/G87,0))</f>
        <v>3</v>
      </c>
      <c r="U87" s="4" t="s">
        <v>437</v>
      </c>
      <c r="V87" s="4" t="s">
        <v>446</v>
      </c>
    </row>
    <row r="88" customFormat="false" ht="15" hidden="false" customHeight="false" outlineLevel="0" collapsed="false">
      <c r="A88" s="4" t="s">
        <v>598</v>
      </c>
      <c r="B88" s="4" t="s">
        <v>599</v>
      </c>
      <c r="C88" s="4" t="s">
        <v>600</v>
      </c>
      <c r="D88" s="4" t="n">
        <v>0</v>
      </c>
      <c r="E88" s="4" t="n">
        <v>4</v>
      </c>
      <c r="F88" s="6" t="n">
        <f aca="false">IF((D88+E88)=0,0,E88/(D88+E88))</f>
        <v>1</v>
      </c>
      <c r="G88" s="4" t="n">
        <v>0.27</v>
      </c>
      <c r="H88" s="4" t="n">
        <v>12</v>
      </c>
      <c r="I88" s="4" t="n">
        <v>0</v>
      </c>
      <c r="J88" s="4" t="n">
        <v>572</v>
      </c>
      <c r="K88" s="4" t="n">
        <f aca="false">IF(G88&lt;=0,"n/a",ROUND(I88/G88,0))</f>
        <v>0</v>
      </c>
      <c r="L88" s="4" t="n">
        <v>12</v>
      </c>
      <c r="M88" s="4" t="n">
        <v>112.1</v>
      </c>
      <c r="N88" s="4" t="n">
        <v>0</v>
      </c>
      <c r="O88" s="4" t="n">
        <v>0</v>
      </c>
      <c r="P88" s="4" t="n">
        <v>0</v>
      </c>
      <c r="Q88" s="4" t="n">
        <f aca="false">O88+P88</f>
        <v>0</v>
      </c>
      <c r="R88" s="4" t="n">
        <v>0</v>
      </c>
      <c r="S88" s="4" t="n">
        <f aca="false">MAX(0,Q88-J88)</f>
        <v>0</v>
      </c>
      <c r="T88" s="4" t="n">
        <f aca="false">IF(G88&lt;=0,"n/a",ROUND((I88+O88)/G88,0))</f>
        <v>0</v>
      </c>
      <c r="U88" s="4" t="s">
        <v>437</v>
      </c>
      <c r="V88" s="4" t="s">
        <v>446</v>
      </c>
    </row>
    <row r="89" customFormat="false" ht="15" hidden="false" customHeight="false" outlineLevel="0" collapsed="false">
      <c r="A89" s="4" t="s">
        <v>137</v>
      </c>
      <c r="B89" s="4" t="s">
        <v>138</v>
      </c>
      <c r="C89" s="4" t="s">
        <v>139</v>
      </c>
      <c r="D89" s="4" t="n">
        <v>0</v>
      </c>
      <c r="E89" s="4" t="n">
        <v>5</v>
      </c>
      <c r="F89" s="6" t="n">
        <f aca="false">IF((D89+E89)=0,0,E89/(D89+E89))</f>
        <v>1</v>
      </c>
      <c r="G89" s="4" t="n">
        <v>0.33</v>
      </c>
      <c r="H89" s="4" t="n">
        <v>15</v>
      </c>
      <c r="I89" s="4" t="n">
        <v>0</v>
      </c>
      <c r="J89" s="4" t="n">
        <v>87</v>
      </c>
      <c r="K89" s="4" t="n">
        <f aca="false">IF(G89&lt;=0,"n/a",ROUND(I89/G89,0))</f>
        <v>0</v>
      </c>
      <c r="L89" s="4" t="n">
        <v>15</v>
      </c>
      <c r="M89" s="4" t="n">
        <v>14.9</v>
      </c>
      <c r="N89" s="4" t="n">
        <v>0.1</v>
      </c>
      <c r="O89" s="4" t="n">
        <v>2</v>
      </c>
      <c r="P89" s="4" t="n">
        <v>0</v>
      </c>
      <c r="Q89" s="4" t="n">
        <f aca="false">O89+P89</f>
        <v>2</v>
      </c>
      <c r="R89" s="4" t="n">
        <v>0</v>
      </c>
      <c r="S89" s="4" t="n">
        <f aca="false">MAX(0,Q89-J89)</f>
        <v>0</v>
      </c>
      <c r="T89" s="4" t="n">
        <f aca="false">IF(G89&lt;=0,"n/a",ROUND((I89+O89)/G89,0))</f>
        <v>6</v>
      </c>
      <c r="U89" s="4" t="s">
        <v>437</v>
      </c>
      <c r="V89" s="4" t="s">
        <v>448</v>
      </c>
    </row>
    <row r="90" customFormat="false" ht="15" hidden="false" customHeight="false" outlineLevel="0" collapsed="false">
      <c r="A90" s="4" t="s">
        <v>140</v>
      </c>
      <c r="B90" s="4" t="s">
        <v>141</v>
      </c>
      <c r="C90" s="4" t="s">
        <v>142</v>
      </c>
      <c r="D90" s="4" t="n">
        <v>12</v>
      </c>
      <c r="E90" s="4" t="n">
        <v>10</v>
      </c>
      <c r="F90" s="6" t="n">
        <f aca="false">IF((D90+E90)=0,0,E90/(D90+E90))</f>
        <v>0.454545454545455</v>
      </c>
      <c r="G90" s="4" t="n">
        <v>1.47</v>
      </c>
      <c r="H90" s="4" t="n">
        <v>66</v>
      </c>
      <c r="I90" s="4" t="n">
        <v>26</v>
      </c>
      <c r="J90" s="4" t="n">
        <v>724</v>
      </c>
      <c r="K90" s="4" t="n">
        <f aca="false">IF(G90&lt;=0,"n/a",ROUND(I90/G90,0))</f>
        <v>18</v>
      </c>
      <c r="L90" s="4" t="n">
        <v>57</v>
      </c>
      <c r="M90" s="4" t="n">
        <v>4</v>
      </c>
      <c r="N90" s="4" t="n">
        <v>53</v>
      </c>
      <c r="O90" s="4" t="n">
        <v>34</v>
      </c>
      <c r="P90" s="4" t="n">
        <v>5</v>
      </c>
      <c r="Q90" s="4" t="n">
        <f aca="false">O90+P90</f>
        <v>39</v>
      </c>
      <c r="R90" s="4" t="n">
        <v>0</v>
      </c>
      <c r="S90" s="4" t="n">
        <f aca="false">MAX(0,Q90-J90)</f>
        <v>0</v>
      </c>
      <c r="T90" s="4" t="n">
        <f aca="false">IF(G90&lt;=0,"n/a",ROUND((I90+O90)/G90,0))</f>
        <v>41</v>
      </c>
      <c r="U90" s="4" t="s">
        <v>447</v>
      </c>
      <c r="V90" s="4" t="s">
        <v>438</v>
      </c>
    </row>
    <row r="91" customFormat="false" ht="15" hidden="false" customHeight="false" outlineLevel="0" collapsed="false">
      <c r="A91" s="4" t="s">
        <v>601</v>
      </c>
      <c r="B91" s="4" t="s">
        <v>602</v>
      </c>
      <c r="C91" s="4" t="s">
        <v>603</v>
      </c>
      <c r="D91" s="4" t="n">
        <v>5</v>
      </c>
      <c r="E91" s="4" t="n">
        <v>10</v>
      </c>
      <c r="F91" s="6" t="n">
        <f aca="false">IF((D91+E91)=0,0,E91/(D91+E91))</f>
        <v>0.666666666666667</v>
      </c>
      <c r="G91" s="4" t="n">
        <v>1</v>
      </c>
      <c r="H91" s="4" t="n">
        <v>45</v>
      </c>
      <c r="I91" s="4" t="n">
        <v>21</v>
      </c>
      <c r="J91" s="4" t="n">
        <v>686</v>
      </c>
      <c r="K91" s="4" t="n">
        <f aca="false">IF(G91&lt;=0,"n/a",ROUND(I91/G91,0))</f>
        <v>21</v>
      </c>
      <c r="L91" s="4" t="n">
        <v>36</v>
      </c>
      <c r="M91" s="4" t="n">
        <v>58</v>
      </c>
      <c r="N91" s="4" t="n">
        <v>0</v>
      </c>
      <c r="O91" s="4" t="n">
        <v>0</v>
      </c>
      <c r="P91" s="4" t="n">
        <v>0</v>
      </c>
      <c r="Q91" s="4" t="n">
        <f aca="false">O91+P91</f>
        <v>0</v>
      </c>
      <c r="R91" s="4" t="n">
        <v>0</v>
      </c>
      <c r="S91" s="4" t="n">
        <f aca="false">MAX(0,Q91-J91)</f>
        <v>0</v>
      </c>
      <c r="T91" s="4" t="n">
        <f aca="false">IF(G91&lt;=0,"n/a",ROUND((I91+O91)/G91,0))</f>
        <v>21</v>
      </c>
      <c r="U91" s="4" t="s">
        <v>447</v>
      </c>
      <c r="V91" s="4" t="s">
        <v>446</v>
      </c>
    </row>
    <row r="92" customFormat="false" ht="15" hidden="false" customHeight="false" outlineLevel="0" collapsed="false">
      <c r="A92" s="4" t="s">
        <v>604</v>
      </c>
      <c r="B92" s="4" t="s">
        <v>605</v>
      </c>
      <c r="C92" s="4" t="s">
        <v>606</v>
      </c>
      <c r="D92" s="4" t="n">
        <v>89</v>
      </c>
      <c r="E92" s="4" t="n">
        <v>8</v>
      </c>
      <c r="F92" s="6" t="n">
        <f aca="false">IF((D92+E92)=0,0,E92/(D92+E92))</f>
        <v>0.0824742268041237</v>
      </c>
      <c r="G92" s="4" t="n">
        <v>6.47</v>
      </c>
      <c r="H92" s="4" t="n">
        <v>291</v>
      </c>
      <c r="I92" s="4" t="n">
        <v>340</v>
      </c>
      <c r="J92" s="4" t="n">
        <v>1316</v>
      </c>
      <c r="K92" s="4" t="n">
        <f aca="false">IF(G92&lt;=0,"n/a",ROUND(I92/G92,0))</f>
        <v>53</v>
      </c>
      <c r="L92" s="4" t="n">
        <v>152.7</v>
      </c>
      <c r="M92" s="4" t="n">
        <v>163</v>
      </c>
      <c r="N92" s="4" t="n">
        <v>0</v>
      </c>
      <c r="O92" s="4" t="n">
        <v>0</v>
      </c>
      <c r="P92" s="4" t="n">
        <v>0</v>
      </c>
      <c r="Q92" s="4" t="n">
        <f aca="false">O92+P92</f>
        <v>0</v>
      </c>
      <c r="R92" s="4" t="n">
        <v>0</v>
      </c>
      <c r="S92" s="4" t="n">
        <f aca="false">MAX(0,Q92-J92)</f>
        <v>0</v>
      </c>
      <c r="T92" s="4" t="n">
        <f aca="false">IF(G92&lt;=0,"n/a",ROUND((I92+O92)/G92,0))</f>
        <v>53</v>
      </c>
      <c r="U92" s="4" t="s">
        <v>447</v>
      </c>
      <c r="V92" s="4" t="s">
        <v>446</v>
      </c>
    </row>
    <row r="93" customFormat="false" ht="15" hidden="false" customHeight="false" outlineLevel="0" collapsed="false">
      <c r="A93" s="4" t="s">
        <v>607</v>
      </c>
      <c r="B93" s="4" t="s">
        <v>608</v>
      </c>
      <c r="C93" s="4" t="s">
        <v>609</v>
      </c>
      <c r="D93" s="4" t="n">
        <v>1</v>
      </c>
      <c r="E93" s="4" t="n">
        <v>0</v>
      </c>
      <c r="F93" s="6" t="n">
        <f aca="false">IF((D93+E93)=0,0,E93/(D93+E93))</f>
        <v>0</v>
      </c>
      <c r="G93" s="4" t="n">
        <v>0.07</v>
      </c>
      <c r="H93" s="4" t="n">
        <v>3</v>
      </c>
      <c r="I93" s="4" t="n">
        <v>6</v>
      </c>
      <c r="J93" s="4" t="n">
        <v>283</v>
      </c>
      <c r="K93" s="4" t="n">
        <f aca="false">IF(G93&lt;=0,"n/a",ROUND(I93/G93,0))</f>
        <v>86</v>
      </c>
      <c r="L93" s="4" t="n">
        <v>2</v>
      </c>
      <c r="M93" s="4" t="n">
        <v>1.5</v>
      </c>
      <c r="N93" s="4" t="n">
        <v>0.5</v>
      </c>
      <c r="O93" s="4" t="n">
        <v>0</v>
      </c>
      <c r="P93" s="4" t="n">
        <v>0</v>
      </c>
      <c r="Q93" s="4" t="n">
        <f aca="false">O93+P93</f>
        <v>0</v>
      </c>
      <c r="R93" s="4" t="n">
        <v>0</v>
      </c>
      <c r="S93" s="4" t="n">
        <f aca="false">MAX(0,Q93-J93)</f>
        <v>0</v>
      </c>
      <c r="T93" s="4" t="n">
        <f aca="false">IF(G93&lt;=0,"n/a",ROUND((I93+O93)/G93,0))</f>
        <v>86</v>
      </c>
      <c r="U93" s="4" t="s">
        <v>437</v>
      </c>
      <c r="V93" s="4" t="s">
        <v>442</v>
      </c>
    </row>
    <row r="94" customFormat="false" ht="15" hidden="false" customHeight="false" outlineLevel="0" collapsed="false">
      <c r="A94" s="4" t="s">
        <v>610</v>
      </c>
      <c r="B94" s="4" t="s">
        <v>611</v>
      </c>
      <c r="C94" s="4" t="s">
        <v>612</v>
      </c>
      <c r="D94" s="4" t="n">
        <v>3</v>
      </c>
      <c r="E94" s="4" t="n">
        <v>4</v>
      </c>
      <c r="F94" s="6" t="n">
        <f aca="false">IF((D94+E94)=0,0,E94/(D94+E94))</f>
        <v>0.571428571428571</v>
      </c>
      <c r="G94" s="4" t="n">
        <v>0.47</v>
      </c>
      <c r="H94" s="4" t="n">
        <v>21</v>
      </c>
      <c r="I94" s="4" t="n">
        <v>13</v>
      </c>
      <c r="J94" s="4" t="n">
        <v>151</v>
      </c>
      <c r="K94" s="4" t="n">
        <f aca="false">IF(G94&lt;=0,"n/a",ROUND(I94/G94,0))</f>
        <v>28</v>
      </c>
      <c r="L94" s="4" t="n">
        <v>12</v>
      </c>
      <c r="M94" s="4" t="n">
        <v>25.8</v>
      </c>
      <c r="N94" s="4" t="n">
        <v>0</v>
      </c>
      <c r="O94" s="4" t="n">
        <v>0</v>
      </c>
      <c r="P94" s="4" t="n">
        <v>0</v>
      </c>
      <c r="Q94" s="4" t="n">
        <f aca="false">O94+P94</f>
        <v>0</v>
      </c>
      <c r="R94" s="4" t="n">
        <v>0</v>
      </c>
      <c r="S94" s="4" t="n">
        <f aca="false">MAX(0,Q94-J94)</f>
        <v>0</v>
      </c>
      <c r="T94" s="4" t="n">
        <f aca="false">IF(G94&lt;=0,"n/a",ROUND((I94+O94)/G94,0))</f>
        <v>28</v>
      </c>
      <c r="U94" s="4" t="s">
        <v>447</v>
      </c>
      <c r="V94" s="4" t="s">
        <v>446</v>
      </c>
    </row>
    <row r="95" customFormat="false" ht="15" hidden="false" customHeight="false" outlineLevel="0" collapsed="false">
      <c r="A95" s="4" t="s">
        <v>613</v>
      </c>
      <c r="B95" s="4" t="s">
        <v>614</v>
      </c>
      <c r="C95" s="4" t="s">
        <v>615</v>
      </c>
      <c r="D95" s="4" t="n">
        <v>1</v>
      </c>
      <c r="E95" s="4" t="n">
        <v>0</v>
      </c>
      <c r="F95" s="6" t="n">
        <f aca="false">IF((D95+E95)=0,0,E95/(D95+E95))</f>
        <v>0</v>
      </c>
      <c r="G95" s="4" t="n">
        <v>0.07</v>
      </c>
      <c r="H95" s="4" t="n">
        <v>3</v>
      </c>
      <c r="I95" s="4" t="n">
        <v>3</v>
      </c>
      <c r="J95" s="4" t="n">
        <v>61</v>
      </c>
      <c r="K95" s="4" t="n">
        <f aca="false">IF(G95&lt;=0,"n/a",ROUND(I95/G95,0))</f>
        <v>43</v>
      </c>
      <c r="L95" s="4" t="n">
        <v>3</v>
      </c>
      <c r="M95" s="4" t="n">
        <v>0</v>
      </c>
      <c r="N95" s="4" t="n">
        <v>3</v>
      </c>
      <c r="O95" s="4" t="n">
        <v>0</v>
      </c>
      <c r="P95" s="4" t="n">
        <v>0</v>
      </c>
      <c r="Q95" s="4" t="n">
        <f aca="false">O95+P95</f>
        <v>0</v>
      </c>
      <c r="R95" s="4" t="n">
        <v>0</v>
      </c>
      <c r="S95" s="4" t="n">
        <f aca="false">MAX(0,Q95-J95)</f>
        <v>0</v>
      </c>
      <c r="T95" s="4" t="n">
        <f aca="false">IF(G95&lt;=0,"n/a",ROUND((I95+O95)/G95,0))</f>
        <v>43</v>
      </c>
      <c r="U95" s="4" t="s">
        <v>437</v>
      </c>
      <c r="V95" s="4" t="s">
        <v>442</v>
      </c>
    </row>
    <row r="96" customFormat="false" ht="15" hidden="false" customHeight="false" outlineLevel="0" collapsed="false">
      <c r="A96" s="4" t="s">
        <v>143</v>
      </c>
      <c r="B96" s="4" t="s">
        <v>144</v>
      </c>
      <c r="C96" s="4" t="s">
        <v>145</v>
      </c>
      <c r="D96" s="4" t="n">
        <v>7</v>
      </c>
      <c r="E96" s="4" t="n">
        <v>9</v>
      </c>
      <c r="F96" s="6" t="n">
        <f aca="false">IF((D96+E96)=0,0,E96/(D96+E96))</f>
        <v>0.5625</v>
      </c>
      <c r="G96" s="4" t="n">
        <v>1.07</v>
      </c>
      <c r="H96" s="4" t="n">
        <v>48</v>
      </c>
      <c r="I96" s="4" t="n">
        <v>5</v>
      </c>
      <c r="J96" s="4" t="n">
        <v>559</v>
      </c>
      <c r="K96" s="4" t="n">
        <f aca="false">IF(G96&lt;=0,"n/a",ROUND(I96/G96,0))</f>
        <v>5</v>
      </c>
      <c r="L96" s="4" t="n">
        <v>46</v>
      </c>
      <c r="M96" s="4" t="n">
        <v>28.3</v>
      </c>
      <c r="N96" s="4" t="n">
        <v>17.7</v>
      </c>
      <c r="O96" s="4" t="n">
        <v>8</v>
      </c>
      <c r="P96" s="4" t="n">
        <v>0</v>
      </c>
      <c r="Q96" s="4" t="n">
        <f aca="false">O96+P96</f>
        <v>8</v>
      </c>
      <c r="R96" s="4" t="n">
        <v>0</v>
      </c>
      <c r="S96" s="4" t="n">
        <f aca="false">MAX(0,Q96-J96)</f>
        <v>0</v>
      </c>
      <c r="T96" s="4" t="n">
        <f aca="false">IF(G96&lt;=0,"n/a",ROUND((I96+O96)/G96,0))</f>
        <v>12</v>
      </c>
      <c r="U96" s="4" t="s">
        <v>447</v>
      </c>
      <c r="V96" s="4" t="s">
        <v>448</v>
      </c>
    </row>
    <row r="97" customFormat="false" ht="15" hidden="false" customHeight="false" outlineLevel="0" collapsed="false">
      <c r="A97" s="4" t="s">
        <v>146</v>
      </c>
      <c r="B97" s="4" t="s">
        <v>147</v>
      </c>
      <c r="C97" s="4" t="s">
        <v>148</v>
      </c>
      <c r="D97" s="4" t="n">
        <v>0</v>
      </c>
      <c r="E97" s="4" t="n">
        <v>8</v>
      </c>
      <c r="F97" s="6" t="n">
        <f aca="false">IF((D97+E97)=0,0,E97/(D97+E97))</f>
        <v>1</v>
      </c>
      <c r="G97" s="4" t="n">
        <v>0.53</v>
      </c>
      <c r="H97" s="4" t="n">
        <v>24</v>
      </c>
      <c r="I97" s="4" t="n">
        <v>0</v>
      </c>
      <c r="J97" s="4" t="n">
        <v>559</v>
      </c>
      <c r="K97" s="4" t="n">
        <f aca="false">IF(G97&lt;=0,"n/a",ROUND(I97/G97,0))</f>
        <v>0</v>
      </c>
      <c r="L97" s="4" t="n">
        <v>24</v>
      </c>
      <c r="M97" s="4" t="n">
        <v>21.1</v>
      </c>
      <c r="N97" s="4" t="n">
        <v>2.9</v>
      </c>
      <c r="O97" s="4" t="n">
        <v>4</v>
      </c>
      <c r="P97" s="4" t="n">
        <v>0</v>
      </c>
      <c r="Q97" s="4" t="n">
        <f aca="false">O97+P97</f>
        <v>4</v>
      </c>
      <c r="R97" s="4" t="n">
        <v>0</v>
      </c>
      <c r="S97" s="4" t="n">
        <f aca="false">MAX(0,Q97-J97)</f>
        <v>0</v>
      </c>
      <c r="T97" s="4" t="n">
        <f aca="false">IF(G97&lt;=0,"n/a",ROUND((I97+O97)/G97,0))</f>
        <v>8</v>
      </c>
      <c r="U97" s="4" t="s">
        <v>437</v>
      </c>
      <c r="V97" s="4" t="s">
        <v>448</v>
      </c>
    </row>
    <row r="98" customFormat="false" ht="15" hidden="false" customHeight="false" outlineLevel="0" collapsed="false">
      <c r="A98" s="4" t="s">
        <v>149</v>
      </c>
      <c r="B98" s="4" t="s">
        <v>150</v>
      </c>
      <c r="C98" s="4" t="s">
        <v>151</v>
      </c>
      <c r="D98" s="4" t="n">
        <v>87</v>
      </c>
      <c r="E98" s="4" t="n">
        <v>36</v>
      </c>
      <c r="F98" s="6" t="n">
        <f aca="false">IF((D98+E98)=0,0,E98/(D98+E98))</f>
        <v>0.292682926829268</v>
      </c>
      <c r="G98" s="4" t="n">
        <v>8.2</v>
      </c>
      <c r="H98" s="4" t="n">
        <v>369</v>
      </c>
      <c r="I98" s="4" t="n">
        <v>64</v>
      </c>
      <c r="J98" s="4" t="n">
        <v>507</v>
      </c>
      <c r="K98" s="4" t="n">
        <f aca="false">IF(G98&lt;=0,"n/a",ROUND(I98/G98,0))</f>
        <v>8</v>
      </c>
      <c r="L98" s="4" t="n">
        <v>319</v>
      </c>
      <c r="M98" s="4" t="n">
        <v>295.5</v>
      </c>
      <c r="N98" s="4" t="n">
        <v>23.5</v>
      </c>
      <c r="O98" s="4" t="n">
        <v>28</v>
      </c>
      <c r="P98" s="4" t="n">
        <v>4</v>
      </c>
      <c r="Q98" s="4" t="n">
        <f aca="false">O98+P98</f>
        <v>32</v>
      </c>
      <c r="R98" s="4" t="n">
        <v>0</v>
      </c>
      <c r="S98" s="4" t="n">
        <f aca="false">MAX(0,Q98-J98)</f>
        <v>0</v>
      </c>
      <c r="T98" s="4" t="n">
        <f aca="false">IF(G98&lt;=0,"n/a",ROUND((I98+O98)/G98,0))</f>
        <v>11</v>
      </c>
      <c r="U98" s="4" t="s">
        <v>479</v>
      </c>
      <c r="V98" s="4" t="s">
        <v>438</v>
      </c>
    </row>
    <row r="99" customFormat="false" ht="15" hidden="false" customHeight="false" outlineLevel="0" collapsed="false">
      <c r="A99" s="4" t="s">
        <v>616</v>
      </c>
      <c r="B99" s="4" t="s">
        <v>617</v>
      </c>
      <c r="C99" s="4" t="s">
        <v>618</v>
      </c>
      <c r="D99" s="4" t="n">
        <v>0</v>
      </c>
      <c r="E99" s="4" t="n">
        <v>1</v>
      </c>
      <c r="F99" s="6" t="n">
        <f aca="false">IF((D99+E99)=0,0,E99/(D99+E99))</f>
        <v>1</v>
      </c>
      <c r="G99" s="4" t="n">
        <v>0.07</v>
      </c>
      <c r="H99" s="4" t="n">
        <v>3</v>
      </c>
      <c r="I99" s="4" t="n">
        <v>0</v>
      </c>
      <c r="J99" s="4" t="n">
        <v>537</v>
      </c>
      <c r="K99" s="4" t="n">
        <f aca="false">IF(G99&lt;=0,"n/a",ROUND(I99/G99,0))</f>
        <v>0</v>
      </c>
      <c r="L99" s="4" t="n">
        <v>3</v>
      </c>
      <c r="M99" s="4" t="n">
        <v>0</v>
      </c>
      <c r="N99" s="4" t="n">
        <v>3</v>
      </c>
      <c r="O99" s="4" t="n">
        <v>0</v>
      </c>
      <c r="P99" s="4" t="n">
        <v>0</v>
      </c>
      <c r="Q99" s="4" t="n">
        <f aca="false">O99+P99</f>
        <v>0</v>
      </c>
      <c r="R99" s="4" t="n">
        <v>0</v>
      </c>
      <c r="S99" s="4" t="n">
        <f aca="false">MAX(0,Q99-J99)</f>
        <v>0</v>
      </c>
      <c r="T99" s="4" t="n">
        <f aca="false">IF(G99&lt;=0,"n/a",ROUND((I99+O99)/G99,0))</f>
        <v>0</v>
      </c>
      <c r="U99" s="4" t="s">
        <v>437</v>
      </c>
      <c r="V99" s="4" t="s">
        <v>442</v>
      </c>
    </row>
    <row r="100" customFormat="false" ht="15" hidden="false" customHeight="false" outlineLevel="0" collapsed="false">
      <c r="A100" s="4" t="s">
        <v>619</v>
      </c>
      <c r="B100" s="4" t="s">
        <v>620</v>
      </c>
      <c r="C100" s="4" t="s">
        <v>621</v>
      </c>
      <c r="D100" s="4" t="n">
        <v>0</v>
      </c>
      <c r="E100" s="4" t="n">
        <v>2</v>
      </c>
      <c r="F100" s="6" t="n">
        <f aca="false">IF((D100+E100)=0,0,E100/(D100+E100))</f>
        <v>1</v>
      </c>
      <c r="G100" s="4" t="n">
        <v>0.13</v>
      </c>
      <c r="H100" s="4" t="n">
        <v>6</v>
      </c>
      <c r="I100" s="4" t="n">
        <v>0</v>
      </c>
      <c r="J100" s="4" t="n">
        <v>545</v>
      </c>
      <c r="K100" s="4" t="n">
        <f aca="false">IF(G100&lt;=0,"n/a",ROUND(I100/G100,0))</f>
        <v>0</v>
      </c>
      <c r="L100" s="4" t="n">
        <v>6</v>
      </c>
      <c r="M100" s="4" t="n">
        <v>26</v>
      </c>
      <c r="N100" s="4" t="n">
        <v>0</v>
      </c>
      <c r="O100" s="4" t="n">
        <v>0</v>
      </c>
      <c r="P100" s="4" t="n">
        <v>0</v>
      </c>
      <c r="Q100" s="4" t="n">
        <f aca="false">O100+P100</f>
        <v>0</v>
      </c>
      <c r="R100" s="4" t="n">
        <v>0</v>
      </c>
      <c r="S100" s="4" t="n">
        <f aca="false">MAX(0,Q100-J100)</f>
        <v>0</v>
      </c>
      <c r="T100" s="4" t="n">
        <f aca="false">IF(G100&lt;=0,"n/a",ROUND((I100+O100)/G100,0))</f>
        <v>0</v>
      </c>
      <c r="U100" s="4" t="s">
        <v>437</v>
      </c>
      <c r="V100" s="4" t="s">
        <v>446</v>
      </c>
    </row>
    <row r="101" customFormat="false" ht="15" hidden="false" customHeight="false" outlineLevel="0" collapsed="false">
      <c r="A101" s="4" t="s">
        <v>622</v>
      </c>
      <c r="B101" s="4" t="s">
        <v>623</v>
      </c>
      <c r="C101" s="4" t="s">
        <v>624</v>
      </c>
      <c r="D101" s="4" t="n">
        <v>0</v>
      </c>
      <c r="E101" s="4" t="n">
        <v>3</v>
      </c>
      <c r="F101" s="6" t="n">
        <f aca="false">IF((D101+E101)=0,0,E101/(D101+E101))</f>
        <v>1</v>
      </c>
      <c r="G101" s="4" t="n">
        <v>0.2</v>
      </c>
      <c r="H101" s="4" t="n">
        <v>9</v>
      </c>
      <c r="I101" s="4" t="n">
        <v>0</v>
      </c>
      <c r="J101" s="4" t="n">
        <v>481</v>
      </c>
      <c r="K101" s="4" t="n">
        <f aca="false">IF(G101&lt;=0,"n/a",ROUND(I101/G101,0))</f>
        <v>0</v>
      </c>
      <c r="L101" s="4" t="n">
        <v>9</v>
      </c>
      <c r="M101" s="4" t="n">
        <v>21</v>
      </c>
      <c r="N101" s="4" t="n">
        <v>0</v>
      </c>
      <c r="O101" s="4" t="n">
        <v>0</v>
      </c>
      <c r="P101" s="4" t="n">
        <v>0</v>
      </c>
      <c r="Q101" s="4" t="n">
        <f aca="false">O101+P101</f>
        <v>0</v>
      </c>
      <c r="R101" s="4" t="n">
        <v>0</v>
      </c>
      <c r="S101" s="4" t="n">
        <f aca="false">MAX(0,Q101-J101)</f>
        <v>0</v>
      </c>
      <c r="T101" s="4" t="n">
        <f aca="false">IF(G101&lt;=0,"n/a",ROUND((I101+O101)/G101,0))</f>
        <v>0</v>
      </c>
      <c r="U101" s="4" t="s">
        <v>437</v>
      </c>
      <c r="V101" s="4" t="s">
        <v>446</v>
      </c>
    </row>
    <row r="102" customFormat="false" ht="15" hidden="false" customHeight="false" outlineLevel="0" collapsed="false">
      <c r="A102" s="4" t="s">
        <v>152</v>
      </c>
      <c r="B102" s="4" t="s">
        <v>153</v>
      </c>
      <c r="C102" s="4" t="s">
        <v>154</v>
      </c>
      <c r="D102" s="4" t="n">
        <v>0</v>
      </c>
      <c r="E102" s="4" t="n">
        <v>3</v>
      </c>
      <c r="F102" s="6" t="n">
        <f aca="false">IF((D102+E102)=0,0,E102/(D102+E102))</f>
        <v>1</v>
      </c>
      <c r="G102" s="4" t="n">
        <v>0.2</v>
      </c>
      <c r="H102" s="4" t="n">
        <v>9</v>
      </c>
      <c r="I102" s="4" t="n">
        <v>0</v>
      </c>
      <c r="J102" s="4" t="n">
        <v>90</v>
      </c>
      <c r="K102" s="4" t="n">
        <f aca="false">IF(G102&lt;=0,"n/a",ROUND(I102/G102,0))</f>
        <v>0</v>
      </c>
      <c r="L102" s="4" t="n">
        <v>9</v>
      </c>
      <c r="M102" s="4" t="n">
        <v>0</v>
      </c>
      <c r="N102" s="4" t="n">
        <v>9</v>
      </c>
      <c r="O102" s="4" t="n">
        <v>2</v>
      </c>
      <c r="P102" s="4" t="n">
        <v>7</v>
      </c>
      <c r="Q102" s="4" t="n">
        <f aca="false">O102+P102</f>
        <v>9</v>
      </c>
      <c r="R102" s="4" t="n">
        <v>0</v>
      </c>
      <c r="S102" s="4" t="n">
        <f aca="false">MAX(0,Q102-J102)</f>
        <v>0</v>
      </c>
      <c r="T102" s="4" t="n">
        <f aca="false">IF(G102&lt;=0,"n/a",ROUND((I102+O102)/G102,0))</f>
        <v>10</v>
      </c>
      <c r="U102" s="4" t="s">
        <v>437</v>
      </c>
      <c r="V102" s="4" t="s">
        <v>438</v>
      </c>
    </row>
    <row r="103" customFormat="false" ht="15" hidden="false" customHeight="false" outlineLevel="0" collapsed="false">
      <c r="A103" s="4" t="s">
        <v>155</v>
      </c>
      <c r="B103" s="4" t="s">
        <v>156</v>
      </c>
      <c r="C103" s="4" t="s">
        <v>157</v>
      </c>
      <c r="D103" s="4" t="n">
        <v>16</v>
      </c>
      <c r="E103" s="4" t="n">
        <v>4</v>
      </c>
      <c r="F103" s="6" t="n">
        <f aca="false">IF((D103+E103)=0,0,E103/(D103+E103))</f>
        <v>0.2</v>
      </c>
      <c r="G103" s="4" t="n">
        <v>1.33</v>
      </c>
      <c r="H103" s="4" t="n">
        <v>60</v>
      </c>
      <c r="I103" s="4" t="n">
        <v>6</v>
      </c>
      <c r="J103" s="4" t="n">
        <v>492</v>
      </c>
      <c r="K103" s="4" t="n">
        <f aca="false">IF(G103&lt;=0,"n/a",ROUND(I103/G103,0))</f>
        <v>5</v>
      </c>
      <c r="L103" s="4" t="n">
        <v>57</v>
      </c>
      <c r="M103" s="4" t="n">
        <v>16</v>
      </c>
      <c r="N103" s="4" t="n">
        <v>41</v>
      </c>
      <c r="O103" s="4" t="n">
        <v>22</v>
      </c>
      <c r="P103" s="4" t="n">
        <v>6</v>
      </c>
      <c r="Q103" s="4" t="n">
        <f aca="false">O103+P103</f>
        <v>28</v>
      </c>
      <c r="R103" s="4" t="n">
        <v>0</v>
      </c>
      <c r="S103" s="4" t="n">
        <f aca="false">MAX(0,Q103-J103)</f>
        <v>0</v>
      </c>
      <c r="T103" s="4" t="n">
        <f aca="false">IF(G103&lt;=0,"n/a",ROUND((I103+O103)/G103,0))</f>
        <v>21</v>
      </c>
      <c r="U103" s="4" t="s">
        <v>447</v>
      </c>
      <c r="V103" s="4" t="s">
        <v>438</v>
      </c>
    </row>
    <row r="104" customFormat="false" ht="15" hidden="false" customHeight="false" outlineLevel="0" collapsed="false">
      <c r="A104" s="4" t="s">
        <v>158</v>
      </c>
      <c r="B104" s="4" t="s">
        <v>159</v>
      </c>
      <c r="C104" s="4" t="s">
        <v>160</v>
      </c>
      <c r="D104" s="4" t="n">
        <v>25</v>
      </c>
      <c r="E104" s="4" t="n">
        <v>1</v>
      </c>
      <c r="F104" s="6" t="n">
        <f aca="false">IF((D104+E104)=0,0,E104/(D104+E104))</f>
        <v>0.0384615384615385</v>
      </c>
      <c r="G104" s="4" t="n">
        <v>1.73</v>
      </c>
      <c r="H104" s="4" t="n">
        <v>78</v>
      </c>
      <c r="I104" s="4" t="n">
        <v>28</v>
      </c>
      <c r="J104" s="4" t="n">
        <v>797</v>
      </c>
      <c r="K104" s="4" t="n">
        <f aca="false">IF(G104&lt;=0,"n/a",ROUND(I104/G104,0))</f>
        <v>16</v>
      </c>
      <c r="L104" s="4" t="n">
        <v>68</v>
      </c>
      <c r="M104" s="4" t="n">
        <v>41</v>
      </c>
      <c r="N104" s="4" t="n">
        <v>27</v>
      </c>
      <c r="O104" s="4" t="n">
        <v>20</v>
      </c>
      <c r="P104" s="4" t="n">
        <v>0</v>
      </c>
      <c r="Q104" s="4" t="n">
        <f aca="false">O104+P104</f>
        <v>20</v>
      </c>
      <c r="R104" s="4" t="n">
        <v>0</v>
      </c>
      <c r="S104" s="4" t="n">
        <f aca="false">MAX(0,Q104-J104)</f>
        <v>0</v>
      </c>
      <c r="T104" s="4" t="n">
        <f aca="false">IF(G104&lt;=0,"n/a",ROUND((I104+O104)/G104,0))</f>
        <v>28</v>
      </c>
      <c r="U104" s="4" t="s">
        <v>447</v>
      </c>
      <c r="V104" s="4" t="s">
        <v>448</v>
      </c>
    </row>
    <row r="105" customFormat="false" ht="15" hidden="false" customHeight="false" outlineLevel="0" collapsed="false">
      <c r="A105" s="4" t="s">
        <v>625</v>
      </c>
      <c r="B105" s="4" t="s">
        <v>626</v>
      </c>
      <c r="C105" s="4" t="s">
        <v>627</v>
      </c>
      <c r="D105" s="4" t="n">
        <v>0</v>
      </c>
      <c r="E105" s="4" t="n">
        <v>10</v>
      </c>
      <c r="F105" s="6" t="n">
        <f aca="false">IF((D105+E105)=0,0,E105/(D105+E105))</f>
        <v>1</v>
      </c>
      <c r="G105" s="4" t="n">
        <v>0.67</v>
      </c>
      <c r="H105" s="4" t="n">
        <v>30</v>
      </c>
      <c r="I105" s="4" t="n">
        <v>0</v>
      </c>
      <c r="J105" s="4" t="n">
        <v>244</v>
      </c>
      <c r="K105" s="4" t="n">
        <f aca="false">IF(G105&lt;=0,"n/a",ROUND(I105/G105,0))</f>
        <v>0</v>
      </c>
      <c r="L105" s="4" t="n">
        <v>30</v>
      </c>
      <c r="M105" s="4" t="n">
        <v>35</v>
      </c>
      <c r="N105" s="4" t="n">
        <v>0</v>
      </c>
      <c r="O105" s="4" t="n">
        <v>0</v>
      </c>
      <c r="P105" s="4" t="n">
        <v>0</v>
      </c>
      <c r="Q105" s="4" t="n">
        <f aca="false">O105+P105</f>
        <v>0</v>
      </c>
      <c r="R105" s="4" t="n">
        <v>0</v>
      </c>
      <c r="S105" s="4" t="n">
        <f aca="false">MAX(0,Q105-J105)</f>
        <v>0</v>
      </c>
      <c r="T105" s="4" t="n">
        <f aca="false">IF(G105&lt;=0,"n/a",ROUND((I105+O105)/G105,0))</f>
        <v>0</v>
      </c>
      <c r="U105" s="4" t="s">
        <v>437</v>
      </c>
      <c r="V105" s="4" t="s">
        <v>446</v>
      </c>
    </row>
    <row r="106" customFormat="false" ht="15" hidden="false" customHeight="false" outlineLevel="0" collapsed="false">
      <c r="A106" s="4" t="s">
        <v>161</v>
      </c>
      <c r="B106" s="4" t="s">
        <v>162</v>
      </c>
      <c r="C106" s="4" t="s">
        <v>163</v>
      </c>
      <c r="D106" s="4" t="n">
        <v>5</v>
      </c>
      <c r="E106" s="4" t="n">
        <v>0</v>
      </c>
      <c r="F106" s="6" t="n">
        <f aca="false">IF((D106+E106)=0,0,E106/(D106+E106))</f>
        <v>0</v>
      </c>
      <c r="G106" s="4" t="n">
        <v>0.33</v>
      </c>
      <c r="H106" s="4" t="n">
        <v>15</v>
      </c>
      <c r="I106" s="4" t="n">
        <v>48</v>
      </c>
      <c r="J106" s="4" t="n">
        <v>542</v>
      </c>
      <c r="K106" s="4" t="n">
        <f aca="false">IF(G106&lt;=0,"n/a",ROUND(I106/G106,0))</f>
        <v>145</v>
      </c>
      <c r="L106" s="4" t="n">
        <v>8</v>
      </c>
      <c r="M106" s="4" t="n">
        <v>0</v>
      </c>
      <c r="N106" s="4" t="n">
        <v>8</v>
      </c>
      <c r="O106" s="4" t="n">
        <v>3</v>
      </c>
      <c r="P106" s="4" t="n">
        <v>0</v>
      </c>
      <c r="Q106" s="4" t="n">
        <f aca="false">O106+P106</f>
        <v>3</v>
      </c>
      <c r="R106" s="4" t="n">
        <v>0</v>
      </c>
      <c r="S106" s="4" t="n">
        <f aca="false">MAX(0,Q106-J106)</f>
        <v>0</v>
      </c>
      <c r="T106" s="4" t="n">
        <f aca="false">IF(G106&lt;=0,"n/a",ROUND((I106+O106)/G106,0))</f>
        <v>155</v>
      </c>
      <c r="U106" s="4" t="s">
        <v>510</v>
      </c>
      <c r="V106" s="4" t="s">
        <v>448</v>
      </c>
    </row>
    <row r="107" customFormat="false" ht="15" hidden="false" customHeight="false" outlineLevel="0" collapsed="false">
      <c r="A107" s="4" t="s">
        <v>628</v>
      </c>
      <c r="B107" s="4" t="s">
        <v>629</v>
      </c>
      <c r="C107" s="4" t="s">
        <v>630</v>
      </c>
      <c r="D107" s="4" t="n">
        <v>2</v>
      </c>
      <c r="E107" s="4" t="n">
        <v>0</v>
      </c>
      <c r="F107" s="6" t="n">
        <f aca="false">IF((D107+E107)=0,0,E107/(D107+E107))</f>
        <v>0</v>
      </c>
      <c r="G107" s="4" t="n">
        <v>0.13</v>
      </c>
      <c r="H107" s="4" t="n">
        <v>6</v>
      </c>
      <c r="I107" s="4" t="n">
        <v>19</v>
      </c>
      <c r="J107" s="4" t="n">
        <v>200</v>
      </c>
      <c r="K107" s="4" t="n">
        <f aca="false">IF(G107&lt;=0,"n/a",ROUND(I107/G107,0))</f>
        <v>146</v>
      </c>
      <c r="L107" s="4" t="n">
        <v>6</v>
      </c>
      <c r="M107" s="4" t="n">
        <v>12</v>
      </c>
      <c r="N107" s="4" t="n">
        <v>0</v>
      </c>
      <c r="O107" s="4" t="n">
        <v>0</v>
      </c>
      <c r="P107" s="4" t="n">
        <v>0</v>
      </c>
      <c r="Q107" s="4" t="n">
        <f aca="false">O107+P107</f>
        <v>0</v>
      </c>
      <c r="R107" s="4" t="n">
        <v>0</v>
      </c>
      <c r="S107" s="4" t="n">
        <f aca="false">MAX(0,Q107-J107)</f>
        <v>0</v>
      </c>
      <c r="T107" s="4" t="n">
        <f aca="false">IF(G107&lt;=0,"n/a",ROUND((I107+O107)/G107,0))</f>
        <v>146</v>
      </c>
      <c r="U107" s="4" t="s">
        <v>437</v>
      </c>
      <c r="V107" s="4" t="s">
        <v>446</v>
      </c>
    </row>
    <row r="108" customFormat="false" ht="15" hidden="false" customHeight="false" outlineLevel="0" collapsed="false">
      <c r="A108" s="4" t="s">
        <v>164</v>
      </c>
      <c r="B108" s="4" t="s">
        <v>165</v>
      </c>
      <c r="C108" s="4" t="s">
        <v>166</v>
      </c>
      <c r="D108" s="4" t="n">
        <v>2</v>
      </c>
      <c r="E108" s="4" t="n">
        <v>0</v>
      </c>
      <c r="F108" s="6" t="n">
        <f aca="false">IF((D108+E108)=0,0,E108/(D108+E108))</f>
        <v>0</v>
      </c>
      <c r="G108" s="4" t="n">
        <v>0.13</v>
      </c>
      <c r="H108" s="4" t="n">
        <v>6</v>
      </c>
      <c r="I108" s="4" t="n">
        <v>29</v>
      </c>
      <c r="J108" s="4" t="n">
        <v>80</v>
      </c>
      <c r="K108" s="4" t="n">
        <f aca="false">IF(G108&lt;=0,"n/a",ROUND(I108/G108,0))</f>
        <v>223</v>
      </c>
      <c r="L108" s="4" t="n">
        <v>6</v>
      </c>
      <c r="M108" s="4" t="n">
        <v>0</v>
      </c>
      <c r="N108" s="4" t="n">
        <v>6</v>
      </c>
      <c r="O108" s="4" t="n">
        <v>2</v>
      </c>
      <c r="P108" s="4" t="n">
        <v>4</v>
      </c>
      <c r="Q108" s="4" t="n">
        <f aca="false">O108+P108</f>
        <v>6</v>
      </c>
      <c r="R108" s="4" t="n">
        <v>0</v>
      </c>
      <c r="S108" s="4" t="n">
        <f aca="false">MAX(0,Q108-J108)</f>
        <v>0</v>
      </c>
      <c r="T108" s="4" t="n">
        <f aca="false">IF(G108&lt;=0,"n/a",ROUND((I108+O108)/G108,0))</f>
        <v>238</v>
      </c>
      <c r="U108" s="4" t="s">
        <v>437</v>
      </c>
      <c r="V108" s="4" t="s">
        <v>438</v>
      </c>
    </row>
    <row r="109" customFormat="false" ht="15" hidden="false" customHeight="false" outlineLevel="0" collapsed="false">
      <c r="A109" s="4" t="s">
        <v>631</v>
      </c>
      <c r="B109" s="4" t="s">
        <v>632</v>
      </c>
      <c r="C109" s="4" t="s">
        <v>633</v>
      </c>
      <c r="D109" s="4" t="n">
        <v>0</v>
      </c>
      <c r="E109" s="4" t="n">
        <v>7</v>
      </c>
      <c r="F109" s="6" t="n">
        <f aca="false">IF((D109+E109)=0,0,E109/(D109+E109))</f>
        <v>1</v>
      </c>
      <c r="G109" s="4" t="n">
        <v>0.47</v>
      </c>
      <c r="H109" s="4" t="n">
        <v>21</v>
      </c>
      <c r="I109" s="4" t="n">
        <v>0</v>
      </c>
      <c r="J109" s="4" t="n">
        <v>27</v>
      </c>
      <c r="K109" s="4" t="n">
        <f aca="false">IF(G109&lt;=0,"n/a",ROUND(I109/G109,0))</f>
        <v>0</v>
      </c>
      <c r="L109" s="4" t="n">
        <v>21</v>
      </c>
      <c r="M109" s="4" t="n">
        <v>28</v>
      </c>
      <c r="N109" s="4" t="n">
        <v>0</v>
      </c>
      <c r="O109" s="4" t="n">
        <v>0</v>
      </c>
      <c r="P109" s="4" t="n">
        <v>0</v>
      </c>
      <c r="Q109" s="4" t="n">
        <f aca="false">O109+P109</f>
        <v>0</v>
      </c>
      <c r="R109" s="4" t="n">
        <v>0</v>
      </c>
      <c r="S109" s="4" t="n">
        <f aca="false">MAX(0,Q109-J109)</f>
        <v>0</v>
      </c>
      <c r="T109" s="4" t="n">
        <f aca="false">IF(G109&lt;=0,"n/a",ROUND((I109+O109)/G109,0))</f>
        <v>0</v>
      </c>
      <c r="U109" s="4" t="s">
        <v>437</v>
      </c>
      <c r="V109" s="4" t="s">
        <v>446</v>
      </c>
    </row>
    <row r="110" customFormat="false" ht="15" hidden="false" customHeight="false" outlineLevel="0" collapsed="false">
      <c r="A110" s="4" t="s">
        <v>634</v>
      </c>
      <c r="B110" s="4" t="s">
        <v>635</v>
      </c>
      <c r="C110" s="4" t="s">
        <v>636</v>
      </c>
      <c r="D110" s="4" t="n">
        <v>0</v>
      </c>
      <c r="E110" s="4" t="n">
        <v>5</v>
      </c>
      <c r="F110" s="6" t="n">
        <f aca="false">IF((D110+E110)=0,0,E110/(D110+E110))</f>
        <v>1</v>
      </c>
      <c r="G110" s="4" t="n">
        <v>0.33</v>
      </c>
      <c r="H110" s="4" t="n">
        <v>15</v>
      </c>
      <c r="I110" s="4" t="n">
        <v>0</v>
      </c>
      <c r="J110" s="4" t="n">
        <v>63</v>
      </c>
      <c r="K110" s="4" t="n">
        <f aca="false">IF(G110&lt;=0,"n/a",ROUND(I110/G110,0))</f>
        <v>0</v>
      </c>
      <c r="L110" s="4" t="n">
        <v>15</v>
      </c>
      <c r="M110" s="4" t="n">
        <v>15</v>
      </c>
      <c r="N110" s="4" t="n">
        <v>0</v>
      </c>
      <c r="O110" s="4" t="n">
        <v>0</v>
      </c>
      <c r="P110" s="4" t="n">
        <v>0</v>
      </c>
      <c r="Q110" s="4" t="n">
        <f aca="false">O110+P110</f>
        <v>0</v>
      </c>
      <c r="R110" s="4" t="n">
        <v>0</v>
      </c>
      <c r="S110" s="4" t="n">
        <f aca="false">MAX(0,Q110-J110)</f>
        <v>0</v>
      </c>
      <c r="T110" s="4" t="n">
        <f aca="false">IF(G110&lt;=0,"n/a",ROUND((I110+O110)/G110,0))</f>
        <v>0</v>
      </c>
      <c r="U110" s="4" t="s">
        <v>437</v>
      </c>
      <c r="V110" s="4" t="s">
        <v>446</v>
      </c>
    </row>
    <row r="111" customFormat="false" ht="15" hidden="false" customHeight="false" outlineLevel="0" collapsed="false">
      <c r="A111" s="4" t="s">
        <v>637</v>
      </c>
      <c r="B111" s="4" t="s">
        <v>638</v>
      </c>
      <c r="C111" s="4" t="s">
        <v>639</v>
      </c>
      <c r="D111" s="4" t="n">
        <v>2</v>
      </c>
      <c r="E111" s="4" t="n">
        <v>0</v>
      </c>
      <c r="F111" s="6" t="n">
        <f aca="false">IF((D111+E111)=0,0,E111/(D111+E111))</f>
        <v>0</v>
      </c>
      <c r="G111" s="4" t="n">
        <v>0.13</v>
      </c>
      <c r="H111" s="4" t="n">
        <v>6</v>
      </c>
      <c r="I111" s="4" t="n">
        <v>53</v>
      </c>
      <c r="J111" s="4" t="n">
        <v>657</v>
      </c>
      <c r="K111" s="4" t="n">
        <f aca="false">IF(G111&lt;=0,"n/a",ROUND(I111/G111,0))</f>
        <v>408</v>
      </c>
      <c r="L111" s="4" t="n">
        <v>6</v>
      </c>
      <c r="M111" s="4" t="n">
        <v>15.4</v>
      </c>
      <c r="N111" s="4" t="n">
        <v>0</v>
      </c>
      <c r="O111" s="4" t="n">
        <v>0</v>
      </c>
      <c r="P111" s="4" t="n">
        <v>0</v>
      </c>
      <c r="Q111" s="4" t="n">
        <f aca="false">O111+P111</f>
        <v>0</v>
      </c>
      <c r="R111" s="4" t="n">
        <v>0</v>
      </c>
      <c r="S111" s="4" t="n">
        <f aca="false">MAX(0,Q111-J111)</f>
        <v>0</v>
      </c>
      <c r="T111" s="4" t="n">
        <f aca="false">IF(G111&lt;=0,"n/a",ROUND((I111+O111)/G111,0))</f>
        <v>408</v>
      </c>
      <c r="U111" s="4" t="s">
        <v>437</v>
      </c>
      <c r="V111" s="4" t="s">
        <v>446</v>
      </c>
    </row>
    <row r="112" customFormat="false" ht="15" hidden="false" customHeight="false" outlineLevel="0" collapsed="false">
      <c r="A112" s="4" t="s">
        <v>640</v>
      </c>
      <c r="B112" s="4" t="s">
        <v>641</v>
      </c>
      <c r="C112" s="4" t="s">
        <v>642</v>
      </c>
      <c r="D112" s="4" t="n">
        <v>1</v>
      </c>
      <c r="E112" s="4" t="n">
        <v>0</v>
      </c>
      <c r="F112" s="6" t="n">
        <f aca="false">IF((D112+E112)=0,0,E112/(D112+E112))</f>
        <v>0</v>
      </c>
      <c r="G112" s="4" t="n">
        <v>0.07</v>
      </c>
      <c r="H112" s="4" t="n">
        <v>3</v>
      </c>
      <c r="I112" s="4" t="n">
        <v>45</v>
      </c>
      <c r="J112" s="4" t="n">
        <v>89</v>
      </c>
      <c r="K112" s="4" t="n">
        <f aca="false">IF(G112&lt;=0,"n/a",ROUND(I112/G112,0))</f>
        <v>643</v>
      </c>
      <c r="L112" s="4" t="n">
        <v>3</v>
      </c>
      <c r="M112" s="4" t="n">
        <v>0</v>
      </c>
      <c r="N112" s="4" t="n">
        <v>3</v>
      </c>
      <c r="O112" s="4" t="n">
        <v>0</v>
      </c>
      <c r="P112" s="4" t="n">
        <v>0</v>
      </c>
      <c r="Q112" s="4" t="n">
        <f aca="false">O112+P112</f>
        <v>0</v>
      </c>
      <c r="R112" s="4" t="n">
        <v>0</v>
      </c>
      <c r="S112" s="4" t="n">
        <f aca="false">MAX(0,Q112-J112)</f>
        <v>0</v>
      </c>
      <c r="T112" s="4" t="n">
        <f aca="false">IF(G112&lt;=0,"n/a",ROUND((I112+O112)/G112,0))</f>
        <v>643</v>
      </c>
      <c r="U112" s="4" t="s">
        <v>437</v>
      </c>
      <c r="V112" s="4" t="s">
        <v>442</v>
      </c>
    </row>
    <row r="113" customFormat="false" ht="15" hidden="false" customHeight="false" outlineLevel="0" collapsed="false">
      <c r="A113" s="4" t="s">
        <v>643</v>
      </c>
      <c r="B113" s="4" t="s">
        <v>644</v>
      </c>
      <c r="C113" s="4" t="s">
        <v>645</v>
      </c>
      <c r="D113" s="4" t="n">
        <v>0</v>
      </c>
      <c r="E113" s="4" t="n">
        <v>1</v>
      </c>
      <c r="F113" s="6" t="n">
        <f aca="false">IF((D113+E113)=0,0,E113/(D113+E113))</f>
        <v>1</v>
      </c>
      <c r="G113" s="4" t="n">
        <v>0.07</v>
      </c>
      <c r="H113" s="4" t="n">
        <v>3</v>
      </c>
      <c r="I113" s="4" t="n">
        <v>5</v>
      </c>
      <c r="J113" s="4" t="n">
        <v>93</v>
      </c>
      <c r="K113" s="4" t="n">
        <f aca="false">IF(G113&lt;=0,"n/a",ROUND(I113/G113,0))</f>
        <v>71</v>
      </c>
      <c r="L113" s="4" t="n">
        <v>3</v>
      </c>
      <c r="M113" s="4" t="n">
        <v>0</v>
      </c>
      <c r="N113" s="4" t="n">
        <v>3</v>
      </c>
      <c r="O113" s="4" t="n">
        <v>0</v>
      </c>
      <c r="P113" s="4" t="n">
        <v>0</v>
      </c>
      <c r="Q113" s="4" t="n">
        <f aca="false">O113+P113</f>
        <v>0</v>
      </c>
      <c r="R113" s="4" t="n">
        <v>0</v>
      </c>
      <c r="S113" s="4" t="n">
        <f aca="false">MAX(0,Q113-J113)</f>
        <v>0</v>
      </c>
      <c r="T113" s="4" t="n">
        <f aca="false">IF(G113&lt;=0,"n/a",ROUND((I113+O113)/G113,0))</f>
        <v>71</v>
      </c>
      <c r="U113" s="4" t="s">
        <v>437</v>
      </c>
      <c r="V113" s="4" t="s">
        <v>442</v>
      </c>
    </row>
    <row r="114" customFormat="false" ht="15" hidden="false" customHeight="false" outlineLevel="0" collapsed="false">
      <c r="A114" s="4" t="s">
        <v>646</v>
      </c>
      <c r="B114" s="4" t="s">
        <v>647</v>
      </c>
      <c r="C114" s="4" t="s">
        <v>648</v>
      </c>
      <c r="D114" s="4" t="n">
        <v>7</v>
      </c>
      <c r="E114" s="4" t="n">
        <v>0</v>
      </c>
      <c r="F114" s="6" t="n">
        <f aca="false">IF((D114+E114)=0,0,E114/(D114+E114))</f>
        <v>0</v>
      </c>
      <c r="G114" s="4" t="n">
        <v>0.47</v>
      </c>
      <c r="H114" s="4" t="n">
        <v>21</v>
      </c>
      <c r="I114" s="4" t="n">
        <v>30</v>
      </c>
      <c r="J114" s="4" t="n">
        <v>1337</v>
      </c>
      <c r="K114" s="4" t="n">
        <f aca="false">IF(G114&lt;=0,"n/a",ROUND(I114/G114,0))</f>
        <v>64</v>
      </c>
      <c r="L114" s="4" t="n">
        <v>18</v>
      </c>
      <c r="M114" s="4" t="n">
        <v>0</v>
      </c>
      <c r="N114" s="4" t="n">
        <v>18</v>
      </c>
      <c r="O114" s="4" t="n">
        <v>0</v>
      </c>
      <c r="P114" s="4" t="n">
        <v>0</v>
      </c>
      <c r="Q114" s="4" t="n">
        <f aca="false">O114+P114</f>
        <v>0</v>
      </c>
      <c r="R114" s="4" t="n">
        <v>0</v>
      </c>
      <c r="S114" s="4" t="n">
        <f aca="false">MAX(0,Q114-J114)</f>
        <v>0</v>
      </c>
      <c r="T114" s="4" t="n">
        <f aca="false">IF(G114&lt;=0,"n/a",ROUND((I114+O114)/G114,0))</f>
        <v>64</v>
      </c>
      <c r="U114" s="4" t="s">
        <v>510</v>
      </c>
      <c r="V114" s="4" t="s">
        <v>442</v>
      </c>
    </row>
    <row r="115" customFormat="false" ht="15" hidden="false" customHeight="false" outlineLevel="0" collapsed="false">
      <c r="A115" s="4" t="s">
        <v>649</v>
      </c>
      <c r="B115" s="4" t="s">
        <v>650</v>
      </c>
      <c r="C115" s="4" t="s">
        <v>651</v>
      </c>
      <c r="D115" s="4" t="n">
        <v>5</v>
      </c>
      <c r="E115" s="4" t="n">
        <v>0</v>
      </c>
      <c r="F115" s="6" t="n">
        <f aca="false">IF((D115+E115)=0,0,E115/(D115+E115))</f>
        <v>0</v>
      </c>
      <c r="G115" s="4" t="n">
        <v>0.33</v>
      </c>
      <c r="H115" s="4" t="n">
        <v>15</v>
      </c>
      <c r="I115" s="4" t="n">
        <v>8</v>
      </c>
      <c r="J115" s="4" t="n">
        <v>108</v>
      </c>
      <c r="K115" s="4" t="n">
        <f aca="false">IF(G115&lt;=0,"n/a",ROUND(I115/G115,0))</f>
        <v>24</v>
      </c>
      <c r="L115" s="4" t="n">
        <v>13</v>
      </c>
      <c r="M115" s="4" t="n">
        <v>20.5</v>
      </c>
      <c r="N115" s="4" t="n">
        <v>0</v>
      </c>
      <c r="O115" s="4" t="n">
        <v>0</v>
      </c>
      <c r="P115" s="4" t="n">
        <v>0</v>
      </c>
      <c r="Q115" s="4" t="n">
        <f aca="false">O115+P115</f>
        <v>0</v>
      </c>
      <c r="R115" s="4" t="n">
        <v>0</v>
      </c>
      <c r="S115" s="4" t="n">
        <f aca="false">MAX(0,Q115-J115)</f>
        <v>0</v>
      </c>
      <c r="T115" s="4" t="n">
        <f aca="false">IF(G115&lt;=0,"n/a",ROUND((I115+O115)/G115,0))</f>
        <v>24</v>
      </c>
      <c r="U115" s="4" t="s">
        <v>510</v>
      </c>
      <c r="V115" s="4" t="s">
        <v>446</v>
      </c>
    </row>
    <row r="116" customFormat="false" ht="15" hidden="false" customHeight="false" outlineLevel="0" collapsed="false">
      <c r="A116" s="4" t="s">
        <v>167</v>
      </c>
      <c r="B116" s="4" t="s">
        <v>168</v>
      </c>
      <c r="C116" s="4" t="s">
        <v>169</v>
      </c>
      <c r="D116" s="4" t="n">
        <v>9</v>
      </c>
      <c r="E116" s="4" t="n">
        <v>0</v>
      </c>
      <c r="F116" s="6" t="n">
        <f aca="false">IF((D116+E116)=0,0,E116/(D116+E116))</f>
        <v>0</v>
      </c>
      <c r="G116" s="4" t="n">
        <v>0.6</v>
      </c>
      <c r="H116" s="4" t="n">
        <v>27</v>
      </c>
      <c r="I116" s="4" t="n">
        <v>42</v>
      </c>
      <c r="J116" s="4" t="n">
        <v>494</v>
      </c>
      <c r="K116" s="4" t="n">
        <f aca="false">IF(G116&lt;=0,"n/a",ROUND(I116/G116,0))</f>
        <v>70</v>
      </c>
      <c r="L116" s="4" t="n">
        <v>12</v>
      </c>
      <c r="M116" s="4" t="n">
        <v>1.9</v>
      </c>
      <c r="N116" s="4" t="n">
        <v>10.1</v>
      </c>
      <c r="O116" s="4" t="n">
        <v>3</v>
      </c>
      <c r="P116" s="4" t="n">
        <v>0</v>
      </c>
      <c r="Q116" s="4" t="n">
        <f aca="false">O116+P116</f>
        <v>3</v>
      </c>
      <c r="R116" s="4" t="n">
        <v>0</v>
      </c>
      <c r="S116" s="4" t="n">
        <f aca="false">MAX(0,Q116-J116)</f>
        <v>0</v>
      </c>
      <c r="T116" s="4" t="n">
        <f aca="false">IF(G116&lt;=0,"n/a",ROUND((I116+O116)/G116,0))</f>
        <v>75</v>
      </c>
      <c r="U116" s="4" t="s">
        <v>510</v>
      </c>
      <c r="V116" s="4" t="s">
        <v>448</v>
      </c>
    </row>
    <row r="117" customFormat="false" ht="15" hidden="false" customHeight="false" outlineLevel="0" collapsed="false">
      <c r="A117" s="4" t="s">
        <v>652</v>
      </c>
      <c r="B117" s="4" t="s">
        <v>653</v>
      </c>
      <c r="C117" s="4" t="s">
        <v>654</v>
      </c>
      <c r="D117" s="4" t="n">
        <v>1</v>
      </c>
      <c r="E117" s="4" t="n">
        <v>0</v>
      </c>
      <c r="F117" s="6" t="n">
        <f aca="false">IF((D117+E117)=0,0,E117/(D117+E117))</f>
        <v>0</v>
      </c>
      <c r="G117" s="4" t="n">
        <v>0.07</v>
      </c>
      <c r="H117" s="4" t="n">
        <v>3</v>
      </c>
      <c r="I117" s="4" t="n">
        <v>13</v>
      </c>
      <c r="J117" s="4" t="n">
        <v>569</v>
      </c>
      <c r="K117" s="4" t="n">
        <f aca="false">IF(G117&lt;=0,"n/a",ROUND(I117/G117,0))</f>
        <v>186</v>
      </c>
      <c r="L117" s="4" t="n">
        <v>3</v>
      </c>
      <c r="M117" s="4" t="n">
        <v>1</v>
      </c>
      <c r="N117" s="4" t="n">
        <v>2</v>
      </c>
      <c r="O117" s="4" t="n">
        <v>0</v>
      </c>
      <c r="P117" s="4" t="n">
        <v>0</v>
      </c>
      <c r="Q117" s="4" t="n">
        <f aca="false">O117+P117</f>
        <v>0</v>
      </c>
      <c r="R117" s="4" t="n">
        <v>0</v>
      </c>
      <c r="S117" s="4" t="n">
        <f aca="false">MAX(0,Q117-J117)</f>
        <v>0</v>
      </c>
      <c r="T117" s="4" t="n">
        <f aca="false">IF(G117&lt;=0,"n/a",ROUND((I117+O117)/G117,0))</f>
        <v>186</v>
      </c>
      <c r="U117" s="4" t="s">
        <v>437</v>
      </c>
      <c r="V117" s="4" t="s">
        <v>442</v>
      </c>
    </row>
    <row r="118" customFormat="false" ht="15" hidden="false" customHeight="false" outlineLevel="0" collapsed="false">
      <c r="A118" s="4" t="s">
        <v>655</v>
      </c>
      <c r="B118" s="4" t="s">
        <v>656</v>
      </c>
      <c r="C118" s="4" t="s">
        <v>657</v>
      </c>
      <c r="D118" s="4" t="n">
        <v>0</v>
      </c>
      <c r="E118" s="4" t="n">
        <v>13</v>
      </c>
      <c r="F118" s="6" t="n">
        <f aca="false">IF((D118+E118)=0,0,E118/(D118+E118))</f>
        <v>1</v>
      </c>
      <c r="G118" s="4" t="n">
        <v>0.87</v>
      </c>
      <c r="H118" s="4" t="n">
        <v>39</v>
      </c>
      <c r="I118" s="4" t="n">
        <v>3</v>
      </c>
      <c r="J118" s="4" t="n">
        <v>562</v>
      </c>
      <c r="K118" s="4" t="n">
        <f aca="false">IF(G118&lt;=0,"n/a",ROUND(I118/G118,0))</f>
        <v>3</v>
      </c>
      <c r="L118" s="4" t="n">
        <v>36.6</v>
      </c>
      <c r="M118" s="4" t="n">
        <v>17.9</v>
      </c>
      <c r="N118" s="4" t="n">
        <v>18.7</v>
      </c>
      <c r="O118" s="4" t="n">
        <v>0</v>
      </c>
      <c r="P118" s="4" t="n">
        <v>0</v>
      </c>
      <c r="Q118" s="4" t="n">
        <f aca="false">O118+P118</f>
        <v>0</v>
      </c>
      <c r="R118" s="4" t="n">
        <v>0</v>
      </c>
      <c r="S118" s="4" t="n">
        <f aca="false">MAX(0,Q118-J118)</f>
        <v>0</v>
      </c>
      <c r="T118" s="4" t="n">
        <f aca="false">IF(G118&lt;=0,"n/a",ROUND((I118+O118)/G118,0))</f>
        <v>3</v>
      </c>
      <c r="U118" s="4" t="s">
        <v>437</v>
      </c>
      <c r="V118" s="4" t="s">
        <v>442</v>
      </c>
    </row>
    <row r="119" customFormat="false" ht="15" hidden="false" customHeight="false" outlineLevel="0" collapsed="false">
      <c r="A119" s="4" t="s">
        <v>170</v>
      </c>
      <c r="B119" s="4" t="s">
        <v>171</v>
      </c>
      <c r="C119" s="4" t="s">
        <v>172</v>
      </c>
      <c r="D119" s="4" t="n">
        <v>67</v>
      </c>
      <c r="E119" s="4" t="n">
        <v>3</v>
      </c>
      <c r="F119" s="6" t="n">
        <f aca="false">IF((D119+E119)=0,0,E119/(D119+E119))</f>
        <v>0.0428571428571429</v>
      </c>
      <c r="G119" s="4" t="n">
        <v>4.67</v>
      </c>
      <c r="H119" s="4" t="n">
        <v>210</v>
      </c>
      <c r="I119" s="4" t="n">
        <v>224</v>
      </c>
      <c r="J119" s="4" t="n">
        <v>520</v>
      </c>
      <c r="K119" s="4" t="n">
        <f aca="false">IF(G119&lt;=0,"n/a",ROUND(I119/G119,0))</f>
        <v>48</v>
      </c>
      <c r="L119" s="4" t="n">
        <v>112</v>
      </c>
      <c r="M119" s="4" t="n">
        <v>34.3</v>
      </c>
      <c r="N119" s="4" t="n">
        <v>77.7</v>
      </c>
      <c r="O119" s="4" t="n">
        <v>68</v>
      </c>
      <c r="P119" s="4" t="n">
        <v>8</v>
      </c>
      <c r="Q119" s="4" t="n">
        <f aca="false">O119+P119</f>
        <v>76</v>
      </c>
      <c r="R119" s="4" t="n">
        <v>0</v>
      </c>
      <c r="S119" s="4" t="n">
        <f aca="false">MAX(0,Q119-J119)</f>
        <v>0</v>
      </c>
      <c r="T119" s="4" t="n">
        <f aca="false">IF(G119&lt;=0,"n/a",ROUND((I119+O119)/G119,0))</f>
        <v>63</v>
      </c>
      <c r="U119" s="4" t="s">
        <v>447</v>
      </c>
      <c r="V119" s="4" t="s">
        <v>438</v>
      </c>
    </row>
    <row r="120" customFormat="false" ht="15" hidden="false" customHeight="false" outlineLevel="0" collapsed="false">
      <c r="A120" s="4" t="s">
        <v>173</v>
      </c>
      <c r="B120" s="4" t="s">
        <v>174</v>
      </c>
      <c r="C120" s="4" t="s">
        <v>175</v>
      </c>
      <c r="D120" s="4" t="n">
        <v>65</v>
      </c>
      <c r="E120" s="4" t="n">
        <v>44</v>
      </c>
      <c r="F120" s="6" t="n">
        <f aca="false">IF((D120+E120)=0,0,E120/(D120+E120))</f>
        <v>0.403669724770642</v>
      </c>
      <c r="G120" s="4" t="n">
        <v>7.27</v>
      </c>
      <c r="H120" s="4" t="n">
        <v>327</v>
      </c>
      <c r="I120" s="4" t="n">
        <v>119</v>
      </c>
      <c r="J120" s="4" t="n">
        <v>673</v>
      </c>
      <c r="K120" s="4" t="n">
        <f aca="false">IF(G120&lt;=0,"n/a",ROUND(I120/G120,0))</f>
        <v>16</v>
      </c>
      <c r="L120" s="4" t="n">
        <v>250</v>
      </c>
      <c r="M120" s="4" t="n">
        <v>142.2</v>
      </c>
      <c r="N120" s="4" t="n">
        <v>107.8</v>
      </c>
      <c r="O120" s="4" t="n">
        <v>72</v>
      </c>
      <c r="P120" s="4" t="n">
        <v>27</v>
      </c>
      <c r="Q120" s="4" t="n">
        <f aca="false">O120+P120</f>
        <v>99</v>
      </c>
      <c r="R120" s="4" t="n">
        <v>0</v>
      </c>
      <c r="S120" s="4" t="n">
        <f aca="false">MAX(0,Q120-J120)</f>
        <v>0</v>
      </c>
      <c r="T120" s="4" t="n">
        <f aca="false">IF(G120&lt;=0,"n/a",ROUND((I120+O120)/G120,0))</f>
        <v>26</v>
      </c>
      <c r="U120" s="4" t="s">
        <v>479</v>
      </c>
      <c r="V120" s="4" t="s">
        <v>438</v>
      </c>
    </row>
    <row r="121" customFormat="false" ht="15" hidden="false" customHeight="false" outlineLevel="0" collapsed="false">
      <c r="A121" s="4" t="s">
        <v>658</v>
      </c>
      <c r="B121" s="4" t="s">
        <v>659</v>
      </c>
      <c r="C121" s="4" t="s">
        <v>660</v>
      </c>
      <c r="D121" s="4" t="n">
        <v>398</v>
      </c>
      <c r="E121" s="4" t="n">
        <v>19</v>
      </c>
      <c r="F121" s="6" t="n">
        <f aca="false">IF((D121+E121)=0,0,E121/(D121+E121))</f>
        <v>0.0455635491606715</v>
      </c>
      <c r="G121" s="4" t="n">
        <v>27.8</v>
      </c>
      <c r="H121" s="4" t="n">
        <v>1251</v>
      </c>
      <c r="I121" s="4" t="n">
        <v>356</v>
      </c>
      <c r="J121" s="4" t="n">
        <v>1289</v>
      </c>
      <c r="K121" s="4" t="n">
        <f aca="false">IF(G121&lt;=0,"n/a",ROUND(I121/G121,0))</f>
        <v>13</v>
      </c>
      <c r="L121" s="4" t="n">
        <v>960</v>
      </c>
      <c r="M121" s="4" t="n">
        <v>1149.1</v>
      </c>
      <c r="N121" s="4" t="n">
        <v>0</v>
      </c>
      <c r="O121" s="4" t="n">
        <v>0</v>
      </c>
      <c r="P121" s="4" t="n">
        <v>0</v>
      </c>
      <c r="Q121" s="4" t="n">
        <f aca="false">O121+P121</f>
        <v>0</v>
      </c>
      <c r="R121" s="4" t="n">
        <v>0</v>
      </c>
      <c r="S121" s="4" t="n">
        <f aca="false">MAX(0,Q121-J121)</f>
        <v>0</v>
      </c>
      <c r="T121" s="4" t="n">
        <f aca="false">IF(G121&lt;=0,"n/a",ROUND((I121+O121)/G121,0))</f>
        <v>13</v>
      </c>
      <c r="U121" s="4" t="s">
        <v>447</v>
      </c>
      <c r="V121" s="4" t="s">
        <v>446</v>
      </c>
    </row>
    <row r="122" customFormat="false" ht="15" hidden="false" customHeight="false" outlineLevel="0" collapsed="false">
      <c r="A122" s="4" t="s">
        <v>176</v>
      </c>
      <c r="B122" s="4" t="s">
        <v>177</v>
      </c>
      <c r="C122" s="4" t="s">
        <v>178</v>
      </c>
      <c r="D122" s="4" t="n">
        <v>19</v>
      </c>
      <c r="E122" s="4" t="n">
        <v>1</v>
      </c>
      <c r="F122" s="6" t="n">
        <f aca="false">IF((D122+E122)=0,0,E122/(D122+E122))</f>
        <v>0.05</v>
      </c>
      <c r="G122" s="4" t="n">
        <v>1.33</v>
      </c>
      <c r="H122" s="4" t="n">
        <v>60</v>
      </c>
      <c r="I122" s="4" t="n">
        <v>93</v>
      </c>
      <c r="J122" s="4" t="n">
        <v>674</v>
      </c>
      <c r="K122" s="4" t="n">
        <f aca="false">IF(G122&lt;=0,"n/a",ROUND(I122/G122,0))</f>
        <v>70</v>
      </c>
      <c r="L122" s="4" t="n">
        <v>9</v>
      </c>
      <c r="M122" s="4" t="n">
        <v>7.5</v>
      </c>
      <c r="N122" s="4" t="n">
        <v>1.5</v>
      </c>
      <c r="O122" s="4" t="n">
        <v>2</v>
      </c>
      <c r="P122" s="4" t="n">
        <v>0</v>
      </c>
      <c r="Q122" s="4" t="n">
        <f aca="false">O122+P122</f>
        <v>2</v>
      </c>
      <c r="R122" s="4" t="n">
        <v>0</v>
      </c>
      <c r="S122" s="4" t="n">
        <f aca="false">MAX(0,Q122-J122)</f>
        <v>0</v>
      </c>
      <c r="T122" s="4" t="n">
        <f aca="false">IF(G122&lt;=0,"n/a",ROUND((I122+O122)/G122,0))</f>
        <v>71</v>
      </c>
      <c r="U122" s="4" t="s">
        <v>447</v>
      </c>
      <c r="V122" s="4" t="s">
        <v>448</v>
      </c>
    </row>
    <row r="123" customFormat="false" ht="15" hidden="false" customHeight="false" outlineLevel="0" collapsed="false">
      <c r="A123" s="4" t="s">
        <v>179</v>
      </c>
      <c r="B123" s="4" t="s">
        <v>180</v>
      </c>
      <c r="C123" s="4" t="s">
        <v>181</v>
      </c>
      <c r="D123" s="4" t="n">
        <v>422</v>
      </c>
      <c r="E123" s="4" t="n">
        <v>56</v>
      </c>
      <c r="F123" s="6" t="n">
        <f aca="false">IF((D123+E123)=0,0,E123/(D123+E123))</f>
        <v>0.117154811715481</v>
      </c>
      <c r="G123" s="4" t="n">
        <v>31.87</v>
      </c>
      <c r="H123" s="4" t="n">
        <v>1434</v>
      </c>
      <c r="I123" s="4" t="n">
        <v>543</v>
      </c>
      <c r="J123" s="4" t="n">
        <v>1372</v>
      </c>
      <c r="K123" s="4" t="n">
        <f aca="false">IF(G123&lt;=0,"n/a",ROUND(I123/G123,0))</f>
        <v>17</v>
      </c>
      <c r="L123" s="4" t="n">
        <v>900.5</v>
      </c>
      <c r="M123" s="4" t="n">
        <v>732.3</v>
      </c>
      <c r="N123" s="4" t="n">
        <v>168.2</v>
      </c>
      <c r="O123" s="4" t="n">
        <v>109</v>
      </c>
      <c r="P123" s="4" t="n">
        <v>58</v>
      </c>
      <c r="Q123" s="4" t="n">
        <f aca="false">O123+P123</f>
        <v>167</v>
      </c>
      <c r="R123" s="4" t="n">
        <v>0</v>
      </c>
      <c r="S123" s="4" t="n">
        <f aca="false">MAX(0,Q123-J123)</f>
        <v>0</v>
      </c>
      <c r="T123" s="4" t="n">
        <f aca="false">IF(G123&lt;=0,"n/a",ROUND((I123+O123)/G123,0))</f>
        <v>20</v>
      </c>
      <c r="U123" s="4" t="s">
        <v>479</v>
      </c>
      <c r="V123" s="4" t="s">
        <v>438</v>
      </c>
    </row>
    <row r="124" customFormat="false" ht="15" hidden="false" customHeight="false" outlineLevel="0" collapsed="false">
      <c r="A124" s="4" t="s">
        <v>183</v>
      </c>
      <c r="B124" s="4" t="s">
        <v>184</v>
      </c>
      <c r="C124" s="4" t="s">
        <v>185</v>
      </c>
      <c r="D124" s="4" t="n">
        <v>8</v>
      </c>
      <c r="E124" s="4" t="n">
        <v>0</v>
      </c>
      <c r="F124" s="6" t="n">
        <f aca="false">IF((D124+E124)=0,0,E124/(D124+E124))</f>
        <v>0</v>
      </c>
      <c r="G124" s="4" t="n">
        <v>0.53</v>
      </c>
      <c r="H124" s="4" t="n">
        <v>24</v>
      </c>
      <c r="I124" s="4" t="n">
        <v>40</v>
      </c>
      <c r="J124" s="4" t="n">
        <v>511</v>
      </c>
      <c r="K124" s="4" t="n">
        <f aca="false">IF(G124&lt;=0,"n/a",ROUND(I124/G124,0))</f>
        <v>75</v>
      </c>
      <c r="L124" s="4" t="n">
        <v>13</v>
      </c>
      <c r="M124" s="4" t="n">
        <v>2</v>
      </c>
      <c r="N124" s="4" t="n">
        <v>11</v>
      </c>
      <c r="O124" s="4" t="n">
        <v>5</v>
      </c>
      <c r="P124" s="4" t="n">
        <v>5</v>
      </c>
      <c r="Q124" s="4" t="n">
        <f aca="false">O124+P124</f>
        <v>10</v>
      </c>
      <c r="R124" s="4" t="n">
        <v>0</v>
      </c>
      <c r="S124" s="4" t="n">
        <f aca="false">MAX(0,Q124-J124)</f>
        <v>0</v>
      </c>
      <c r="T124" s="4" t="n">
        <f aca="false">IF(G124&lt;=0,"n/a",ROUND((I124+O124)/G124,0))</f>
        <v>85</v>
      </c>
      <c r="U124" s="4" t="s">
        <v>510</v>
      </c>
      <c r="V124" s="4" t="s">
        <v>438</v>
      </c>
    </row>
    <row r="125" customFormat="false" ht="15" hidden="false" customHeight="false" outlineLevel="0" collapsed="false">
      <c r="A125" s="4" t="s">
        <v>661</v>
      </c>
      <c r="B125" s="4" t="s">
        <v>662</v>
      </c>
      <c r="C125" s="4" t="s">
        <v>663</v>
      </c>
      <c r="D125" s="4" t="n">
        <v>1</v>
      </c>
      <c r="E125" s="4" t="n">
        <v>6</v>
      </c>
      <c r="F125" s="6" t="n">
        <f aca="false">IF((D125+E125)=0,0,E125/(D125+E125))</f>
        <v>0.857142857142857</v>
      </c>
      <c r="G125" s="4" t="n">
        <v>0.47</v>
      </c>
      <c r="H125" s="4" t="n">
        <v>21</v>
      </c>
      <c r="I125" s="4" t="n">
        <v>14</v>
      </c>
      <c r="J125" s="4" t="n">
        <v>687</v>
      </c>
      <c r="K125" s="4" t="n">
        <f aca="false">IF(G125&lt;=0,"n/a",ROUND(I125/G125,0))</f>
        <v>30</v>
      </c>
      <c r="L125" s="4" t="n">
        <v>18</v>
      </c>
      <c r="M125" s="4" t="n">
        <v>22.1</v>
      </c>
      <c r="N125" s="4" t="n">
        <v>0</v>
      </c>
      <c r="O125" s="4" t="n">
        <v>0</v>
      </c>
      <c r="P125" s="4" t="n">
        <v>0</v>
      </c>
      <c r="Q125" s="4" t="n">
        <f aca="false">O125+P125</f>
        <v>0</v>
      </c>
      <c r="R125" s="4" t="n">
        <v>0</v>
      </c>
      <c r="S125" s="4" t="n">
        <f aca="false">MAX(0,Q125-J125)</f>
        <v>0</v>
      </c>
      <c r="T125" s="4" t="n">
        <f aca="false">IF(G125&lt;=0,"n/a",ROUND((I125+O125)/G125,0))</f>
        <v>30</v>
      </c>
      <c r="U125" s="4" t="s">
        <v>437</v>
      </c>
      <c r="V125" s="4" t="s">
        <v>446</v>
      </c>
    </row>
    <row r="126" customFormat="false" ht="15" hidden="false" customHeight="false" outlineLevel="0" collapsed="false">
      <c r="A126" s="4" t="s">
        <v>664</v>
      </c>
      <c r="B126" s="4" t="s">
        <v>665</v>
      </c>
      <c r="C126" s="4" t="s">
        <v>666</v>
      </c>
      <c r="D126" s="4" t="n">
        <v>0</v>
      </c>
      <c r="E126" s="4" t="n">
        <v>2</v>
      </c>
      <c r="F126" s="6" t="n">
        <f aca="false">IF((D126+E126)=0,0,E126/(D126+E126))</f>
        <v>1</v>
      </c>
      <c r="G126" s="4" t="n">
        <v>0.13</v>
      </c>
      <c r="H126" s="4" t="n">
        <v>6</v>
      </c>
      <c r="I126" s="4" t="n">
        <v>1</v>
      </c>
      <c r="J126" s="4" t="n">
        <v>546</v>
      </c>
      <c r="K126" s="4" t="n">
        <f aca="false">IF(G126&lt;=0,"n/a",ROUND(I126/G126,0))</f>
        <v>8</v>
      </c>
      <c r="L126" s="4" t="n">
        <v>6</v>
      </c>
      <c r="M126" s="4" t="n">
        <v>34.9</v>
      </c>
      <c r="N126" s="4" t="n">
        <v>0</v>
      </c>
      <c r="O126" s="4" t="n">
        <v>0</v>
      </c>
      <c r="P126" s="4" t="n">
        <v>0</v>
      </c>
      <c r="Q126" s="4" t="n">
        <f aca="false">O126+P126</f>
        <v>0</v>
      </c>
      <c r="R126" s="4" t="n">
        <v>0</v>
      </c>
      <c r="S126" s="4" t="n">
        <f aca="false">MAX(0,Q126-J126)</f>
        <v>0</v>
      </c>
      <c r="T126" s="4" t="n">
        <f aca="false">IF(G126&lt;=0,"n/a",ROUND((I126+O126)/G126,0))</f>
        <v>8</v>
      </c>
      <c r="U126" s="4" t="s">
        <v>437</v>
      </c>
      <c r="V126" s="4" t="s">
        <v>446</v>
      </c>
    </row>
    <row r="127" customFormat="false" ht="15" hidden="false" customHeight="false" outlineLevel="0" collapsed="false">
      <c r="A127" s="4" t="s">
        <v>667</v>
      </c>
      <c r="B127" s="4" t="s">
        <v>668</v>
      </c>
      <c r="C127" s="4" t="s">
        <v>669</v>
      </c>
      <c r="D127" s="4" t="n">
        <v>9</v>
      </c>
      <c r="E127" s="4" t="n">
        <v>0</v>
      </c>
      <c r="F127" s="6" t="n">
        <f aca="false">IF((D127+E127)=0,0,E127/(D127+E127))</f>
        <v>0</v>
      </c>
      <c r="G127" s="4" t="n">
        <v>0.6</v>
      </c>
      <c r="H127" s="4" t="n">
        <v>27</v>
      </c>
      <c r="I127" s="4" t="n">
        <v>71</v>
      </c>
      <c r="J127" s="4" t="n">
        <v>486</v>
      </c>
      <c r="K127" s="4" t="n">
        <f aca="false">IF(G127&lt;=0,"n/a",ROUND(I127/G127,0))</f>
        <v>118</v>
      </c>
      <c r="L127" s="4" t="n">
        <v>0</v>
      </c>
      <c r="M127" s="4" t="n">
        <v>8</v>
      </c>
      <c r="N127" s="4" t="n">
        <v>0</v>
      </c>
      <c r="O127" s="4" t="n">
        <v>0</v>
      </c>
      <c r="P127" s="4" t="n">
        <v>0</v>
      </c>
      <c r="Q127" s="4" t="n">
        <f aca="false">O127+P127</f>
        <v>0</v>
      </c>
      <c r="R127" s="4" t="n">
        <v>0</v>
      </c>
      <c r="S127" s="4" t="n">
        <f aca="false">MAX(0,Q127-J127)</f>
        <v>0</v>
      </c>
      <c r="T127" s="4" t="n">
        <f aca="false">IF(G127&lt;=0,"n/a",ROUND((I127+O127)/G127,0))</f>
        <v>118</v>
      </c>
      <c r="U127" s="4" t="s">
        <v>510</v>
      </c>
      <c r="V127" s="4" t="s">
        <v>446</v>
      </c>
    </row>
    <row r="128" customFormat="false" ht="15" hidden="false" customHeight="false" outlineLevel="0" collapsed="false">
      <c r="A128" s="4" t="s">
        <v>670</v>
      </c>
      <c r="B128" s="4" t="s">
        <v>671</v>
      </c>
      <c r="C128" s="4" t="s">
        <v>672</v>
      </c>
      <c r="D128" s="4" t="n">
        <v>0</v>
      </c>
      <c r="E128" s="4" t="n">
        <v>11</v>
      </c>
      <c r="F128" s="6" t="n">
        <f aca="false">IF((D128+E128)=0,0,E128/(D128+E128))</f>
        <v>1</v>
      </c>
      <c r="G128" s="4" t="n">
        <v>0.73</v>
      </c>
      <c r="H128" s="4" t="n">
        <v>33</v>
      </c>
      <c r="I128" s="4" t="n">
        <v>0</v>
      </c>
      <c r="J128" s="4" t="n">
        <v>432</v>
      </c>
      <c r="K128" s="4" t="n">
        <f aca="false">IF(G128&lt;=0,"n/a",ROUND(I128/G128,0))</f>
        <v>0</v>
      </c>
      <c r="L128" s="4" t="n">
        <v>33</v>
      </c>
      <c r="M128" s="4" t="n">
        <v>67</v>
      </c>
      <c r="N128" s="4" t="n">
        <v>0</v>
      </c>
      <c r="O128" s="4" t="n">
        <v>0</v>
      </c>
      <c r="P128" s="4" t="n">
        <v>0</v>
      </c>
      <c r="Q128" s="4" t="n">
        <f aca="false">O128+P128</f>
        <v>0</v>
      </c>
      <c r="R128" s="4" t="n">
        <v>0</v>
      </c>
      <c r="S128" s="4" t="n">
        <f aca="false">MAX(0,Q128-J128)</f>
        <v>0</v>
      </c>
      <c r="T128" s="4" t="n">
        <f aca="false">IF(G128&lt;=0,"n/a",ROUND((I128+O128)/G128,0))</f>
        <v>0</v>
      </c>
      <c r="U128" s="4" t="s">
        <v>437</v>
      </c>
      <c r="V128" s="4" t="s">
        <v>446</v>
      </c>
    </row>
    <row r="129" customFormat="false" ht="15" hidden="false" customHeight="false" outlineLevel="0" collapsed="false">
      <c r="A129" s="4" t="s">
        <v>186</v>
      </c>
      <c r="B129" s="4" t="s">
        <v>187</v>
      </c>
      <c r="C129" s="4" t="s">
        <v>188</v>
      </c>
      <c r="D129" s="4" t="n">
        <v>0</v>
      </c>
      <c r="E129" s="4" t="n">
        <v>45</v>
      </c>
      <c r="F129" s="6" t="n">
        <f aca="false">IF((D129+E129)=0,0,E129/(D129+E129))</f>
        <v>1</v>
      </c>
      <c r="G129" s="4" t="n">
        <v>3</v>
      </c>
      <c r="H129" s="4" t="n">
        <v>135</v>
      </c>
      <c r="I129" s="4" t="n">
        <v>0</v>
      </c>
      <c r="J129" s="4" t="n">
        <v>484</v>
      </c>
      <c r="K129" s="4" t="n">
        <f aca="false">IF(G129&lt;=0,"n/a",ROUND(I129/G129,0))</f>
        <v>0</v>
      </c>
      <c r="L129" s="4" t="n">
        <v>135</v>
      </c>
      <c r="M129" s="4" t="n">
        <v>112</v>
      </c>
      <c r="N129" s="4" t="n">
        <v>23</v>
      </c>
      <c r="O129" s="4" t="n">
        <v>22</v>
      </c>
      <c r="P129" s="4" t="n">
        <v>2</v>
      </c>
      <c r="Q129" s="4" t="n">
        <f aca="false">O129+P129</f>
        <v>24</v>
      </c>
      <c r="R129" s="4" t="n">
        <v>0</v>
      </c>
      <c r="S129" s="4" t="n">
        <f aca="false">MAX(0,Q129-J129)</f>
        <v>0</v>
      </c>
      <c r="T129" s="4" t="n">
        <f aca="false">IF(G129&lt;=0,"n/a",ROUND((I129+O129)/G129,0))</f>
        <v>7</v>
      </c>
      <c r="U129" s="4" t="s">
        <v>437</v>
      </c>
      <c r="V129" s="4" t="s">
        <v>438</v>
      </c>
    </row>
    <row r="130" customFormat="false" ht="15" hidden="false" customHeight="false" outlineLevel="0" collapsed="false">
      <c r="A130" s="4" t="s">
        <v>673</v>
      </c>
      <c r="B130" s="4" t="s">
        <v>674</v>
      </c>
      <c r="C130" s="4" t="s">
        <v>675</v>
      </c>
      <c r="D130" s="4" t="n">
        <v>0</v>
      </c>
      <c r="E130" s="4" t="n">
        <v>3</v>
      </c>
      <c r="F130" s="6" t="n">
        <f aca="false">IF((D130+E130)=0,0,E130/(D130+E130))</f>
        <v>1</v>
      </c>
      <c r="G130" s="4" t="n">
        <v>0.2</v>
      </c>
      <c r="H130" s="4" t="n">
        <v>9</v>
      </c>
      <c r="I130" s="4" t="n">
        <v>0</v>
      </c>
      <c r="J130" s="4" t="n">
        <v>93</v>
      </c>
      <c r="K130" s="4" t="n">
        <f aca="false">IF(G130&lt;=0,"n/a",ROUND(I130/G130,0))</f>
        <v>0</v>
      </c>
      <c r="L130" s="4" t="n">
        <v>9</v>
      </c>
      <c r="M130" s="4" t="n">
        <v>21</v>
      </c>
      <c r="N130" s="4" t="n">
        <v>0</v>
      </c>
      <c r="O130" s="4" t="n">
        <v>0</v>
      </c>
      <c r="P130" s="4" t="n">
        <v>0</v>
      </c>
      <c r="Q130" s="4" t="n">
        <f aca="false">O130+P130</f>
        <v>0</v>
      </c>
      <c r="R130" s="4" t="n">
        <v>0</v>
      </c>
      <c r="S130" s="4" t="n">
        <f aca="false">MAX(0,Q130-J130)</f>
        <v>0</v>
      </c>
      <c r="T130" s="4" t="n">
        <f aca="false">IF(G130&lt;=0,"n/a",ROUND((I130+O130)/G130,0))</f>
        <v>0</v>
      </c>
      <c r="U130" s="4" t="s">
        <v>437</v>
      </c>
      <c r="V130" s="4" t="s">
        <v>446</v>
      </c>
    </row>
    <row r="131" customFormat="false" ht="15" hidden="false" customHeight="false" outlineLevel="0" collapsed="false">
      <c r="A131" s="4" t="s">
        <v>676</v>
      </c>
      <c r="B131" s="4" t="s">
        <v>677</v>
      </c>
      <c r="C131" s="4" t="s">
        <v>678</v>
      </c>
      <c r="D131" s="4" t="n">
        <v>0</v>
      </c>
      <c r="E131" s="4" t="n">
        <v>12</v>
      </c>
      <c r="F131" s="6" t="n">
        <f aca="false">IF((D131+E131)=0,0,E131/(D131+E131))</f>
        <v>1</v>
      </c>
      <c r="G131" s="4" t="n">
        <v>0.8</v>
      </c>
      <c r="H131" s="4" t="n">
        <v>36</v>
      </c>
      <c r="I131" s="4" t="n">
        <v>0</v>
      </c>
      <c r="J131" s="4" t="n">
        <v>652</v>
      </c>
      <c r="K131" s="4" t="n">
        <f aca="false">IF(G131&lt;=0,"n/a",ROUND(I131/G131,0))</f>
        <v>0</v>
      </c>
      <c r="L131" s="4" t="n">
        <v>36</v>
      </c>
      <c r="M131" s="4" t="n">
        <v>41</v>
      </c>
      <c r="N131" s="4" t="n">
        <v>0</v>
      </c>
      <c r="O131" s="4" t="n">
        <v>0</v>
      </c>
      <c r="P131" s="4" t="n">
        <v>0</v>
      </c>
      <c r="Q131" s="4" t="n">
        <f aca="false">O131+P131</f>
        <v>0</v>
      </c>
      <c r="R131" s="4" t="n">
        <v>0</v>
      </c>
      <c r="S131" s="4" t="n">
        <f aca="false">MAX(0,Q131-J131)</f>
        <v>0</v>
      </c>
      <c r="T131" s="4" t="n">
        <f aca="false">IF(G131&lt;=0,"n/a",ROUND((I131+O131)/G131,0))</f>
        <v>0</v>
      </c>
      <c r="U131" s="4" t="s">
        <v>437</v>
      </c>
      <c r="V131" s="4" t="s">
        <v>446</v>
      </c>
    </row>
    <row r="132" customFormat="false" ht="15" hidden="false" customHeight="false" outlineLevel="0" collapsed="false">
      <c r="A132" s="4" t="s">
        <v>679</v>
      </c>
      <c r="B132" s="4" t="s">
        <v>680</v>
      </c>
      <c r="C132" s="4" t="s">
        <v>681</v>
      </c>
      <c r="D132" s="4" t="n">
        <v>0</v>
      </c>
      <c r="E132" s="4" t="n">
        <v>1</v>
      </c>
      <c r="F132" s="6" t="n">
        <f aca="false">IF((D132+E132)=0,0,E132/(D132+E132))</f>
        <v>1</v>
      </c>
      <c r="G132" s="4" t="n">
        <v>0.07</v>
      </c>
      <c r="H132" s="4" t="n">
        <v>3</v>
      </c>
      <c r="I132" s="4" t="n">
        <v>0</v>
      </c>
      <c r="J132" s="4" t="n">
        <v>364</v>
      </c>
      <c r="K132" s="4" t="n">
        <f aca="false">IF(G132&lt;=0,"n/a",ROUND(I132/G132,0))</f>
        <v>0</v>
      </c>
      <c r="L132" s="4" t="n">
        <v>3</v>
      </c>
      <c r="M132" s="4" t="n">
        <v>33</v>
      </c>
      <c r="N132" s="4" t="n">
        <v>0</v>
      </c>
      <c r="O132" s="4" t="n">
        <v>0</v>
      </c>
      <c r="P132" s="4" t="n">
        <v>0</v>
      </c>
      <c r="Q132" s="4" t="n">
        <f aca="false">O132+P132</f>
        <v>0</v>
      </c>
      <c r="R132" s="4" t="n">
        <v>0</v>
      </c>
      <c r="S132" s="4" t="n">
        <f aca="false">MAX(0,Q132-J132)</f>
        <v>0</v>
      </c>
      <c r="T132" s="4" t="n">
        <f aca="false">IF(G132&lt;=0,"n/a",ROUND((I132+O132)/G132,0))</f>
        <v>0</v>
      </c>
      <c r="U132" s="4" t="s">
        <v>437</v>
      </c>
      <c r="V132" s="4" t="s">
        <v>446</v>
      </c>
    </row>
    <row r="133" customFormat="false" ht="15" hidden="false" customHeight="false" outlineLevel="0" collapsed="false">
      <c r="A133" s="4" t="s">
        <v>189</v>
      </c>
      <c r="B133" s="4" t="s">
        <v>190</v>
      </c>
      <c r="C133" s="4" t="s">
        <v>191</v>
      </c>
      <c r="D133" s="4" t="n">
        <v>0</v>
      </c>
      <c r="E133" s="4" t="n">
        <v>36</v>
      </c>
      <c r="F133" s="6" t="n">
        <f aca="false">IF((D133+E133)=0,0,E133/(D133+E133))</f>
        <v>1</v>
      </c>
      <c r="G133" s="4" t="n">
        <v>2.4</v>
      </c>
      <c r="H133" s="4" t="n">
        <v>108</v>
      </c>
      <c r="I133" s="4" t="n">
        <v>0</v>
      </c>
      <c r="J133" s="4" t="n">
        <v>419</v>
      </c>
      <c r="K133" s="4" t="n">
        <f aca="false">IF(G133&lt;=0,"n/a",ROUND(I133/G133,0))</f>
        <v>0</v>
      </c>
      <c r="L133" s="4" t="n">
        <v>108</v>
      </c>
      <c r="M133" s="4" t="n">
        <v>21</v>
      </c>
      <c r="N133" s="4" t="n">
        <v>87</v>
      </c>
      <c r="O133" s="4" t="n">
        <v>34</v>
      </c>
      <c r="P133" s="4" t="n">
        <v>14</v>
      </c>
      <c r="Q133" s="4" t="n">
        <f aca="false">O133+P133</f>
        <v>48</v>
      </c>
      <c r="R133" s="4" t="n">
        <v>0</v>
      </c>
      <c r="S133" s="4" t="n">
        <f aca="false">MAX(0,Q133-J133)</f>
        <v>0</v>
      </c>
      <c r="T133" s="4" t="n">
        <f aca="false">IF(G133&lt;=0,"n/a",ROUND((I133+O133)/G133,0))</f>
        <v>14</v>
      </c>
      <c r="U133" s="4" t="s">
        <v>437</v>
      </c>
      <c r="V133" s="4" t="s">
        <v>438</v>
      </c>
    </row>
    <row r="134" customFormat="false" ht="15" hidden="false" customHeight="false" outlineLevel="0" collapsed="false">
      <c r="A134" s="4" t="s">
        <v>682</v>
      </c>
      <c r="B134" s="4" t="s">
        <v>683</v>
      </c>
      <c r="C134" s="4" t="s">
        <v>684</v>
      </c>
      <c r="D134" s="4" t="n">
        <v>0</v>
      </c>
      <c r="E134" s="4" t="n">
        <v>7</v>
      </c>
      <c r="F134" s="6" t="n">
        <f aca="false">IF((D134+E134)=0,0,E134/(D134+E134))</f>
        <v>1</v>
      </c>
      <c r="G134" s="4" t="n">
        <v>0.47</v>
      </c>
      <c r="H134" s="4" t="n">
        <v>21</v>
      </c>
      <c r="I134" s="4" t="n">
        <v>0</v>
      </c>
      <c r="J134" s="4" t="n">
        <v>158</v>
      </c>
      <c r="K134" s="4" t="n">
        <f aca="false">IF(G134&lt;=0,"n/a",ROUND(I134/G134,0))</f>
        <v>0</v>
      </c>
      <c r="L134" s="4" t="n">
        <v>21</v>
      </c>
      <c r="M134" s="4" t="n">
        <v>93</v>
      </c>
      <c r="N134" s="4" t="n">
        <v>0</v>
      </c>
      <c r="O134" s="4" t="n">
        <v>0</v>
      </c>
      <c r="P134" s="4" t="n">
        <v>0</v>
      </c>
      <c r="Q134" s="4" t="n">
        <f aca="false">O134+P134</f>
        <v>0</v>
      </c>
      <c r="R134" s="4" t="n">
        <v>0</v>
      </c>
      <c r="S134" s="4" t="n">
        <f aca="false">MAX(0,Q134-J134)</f>
        <v>0</v>
      </c>
      <c r="T134" s="4" t="n">
        <f aca="false">IF(G134&lt;=0,"n/a",ROUND((I134+O134)/G134,0))</f>
        <v>0</v>
      </c>
      <c r="U134" s="4" t="s">
        <v>437</v>
      </c>
      <c r="V134" s="4" t="s">
        <v>446</v>
      </c>
    </row>
    <row r="135" customFormat="false" ht="15" hidden="false" customHeight="false" outlineLevel="0" collapsed="false">
      <c r="A135" s="4" t="s">
        <v>685</v>
      </c>
      <c r="B135" s="4" t="s">
        <v>686</v>
      </c>
      <c r="C135" s="4" t="s">
        <v>687</v>
      </c>
      <c r="D135" s="4" t="n">
        <v>189</v>
      </c>
      <c r="E135" s="4" t="n">
        <v>44</v>
      </c>
      <c r="F135" s="6" t="n">
        <f aca="false">IF((D135+E135)=0,0,E135/(D135+E135))</f>
        <v>0.188841201716738</v>
      </c>
      <c r="G135" s="4" t="n">
        <v>15.53</v>
      </c>
      <c r="H135" s="4" t="n">
        <v>699</v>
      </c>
      <c r="I135" s="4" t="n">
        <v>265</v>
      </c>
      <c r="J135" s="4" t="n">
        <v>1643</v>
      </c>
      <c r="K135" s="4" t="n">
        <f aca="false">IF(G135&lt;=0,"n/a",ROUND(I135/G135,0))</f>
        <v>17</v>
      </c>
      <c r="L135" s="4" t="n">
        <v>472</v>
      </c>
      <c r="M135" s="4" t="n">
        <v>483.2</v>
      </c>
      <c r="N135" s="4" t="n">
        <v>0</v>
      </c>
      <c r="O135" s="4" t="n">
        <v>0</v>
      </c>
      <c r="P135" s="4" t="n">
        <v>0</v>
      </c>
      <c r="Q135" s="4" t="n">
        <f aca="false">O135+P135</f>
        <v>0</v>
      </c>
      <c r="R135" s="4" t="n">
        <v>0</v>
      </c>
      <c r="S135" s="4" t="n">
        <f aca="false">MAX(0,Q135-J135)</f>
        <v>0</v>
      </c>
      <c r="T135" s="4" t="n">
        <f aca="false">IF(G135&lt;=0,"n/a",ROUND((I135+O135)/G135,0))</f>
        <v>17</v>
      </c>
      <c r="U135" s="4" t="s">
        <v>479</v>
      </c>
      <c r="V135" s="4" t="s">
        <v>446</v>
      </c>
    </row>
    <row r="136" customFormat="false" ht="15" hidden="false" customHeight="false" outlineLevel="0" collapsed="false">
      <c r="A136" s="4" t="s">
        <v>688</v>
      </c>
      <c r="B136" s="4" t="s">
        <v>689</v>
      </c>
      <c r="C136" s="4" t="s">
        <v>690</v>
      </c>
      <c r="D136" s="4" t="n">
        <v>0</v>
      </c>
      <c r="E136" s="4" t="n">
        <v>4</v>
      </c>
      <c r="F136" s="6" t="n">
        <f aca="false">IF((D136+E136)=0,0,E136/(D136+E136))</f>
        <v>1</v>
      </c>
      <c r="G136" s="4" t="n">
        <v>0.27</v>
      </c>
      <c r="H136" s="4" t="n">
        <v>12</v>
      </c>
      <c r="I136" s="4" t="n">
        <v>10</v>
      </c>
      <c r="J136" s="4" t="n">
        <v>525</v>
      </c>
      <c r="K136" s="4" t="n">
        <f aca="false">IF(G136&lt;=0,"n/a",ROUND(I136/G136,0))</f>
        <v>37</v>
      </c>
      <c r="L136" s="4" t="n">
        <v>11</v>
      </c>
      <c r="M136" s="4" t="n">
        <v>13.2</v>
      </c>
      <c r="N136" s="4" t="n">
        <v>0</v>
      </c>
      <c r="O136" s="4" t="n">
        <v>0</v>
      </c>
      <c r="P136" s="4" t="n">
        <v>0</v>
      </c>
      <c r="Q136" s="4" t="n">
        <f aca="false">O136+P136</f>
        <v>0</v>
      </c>
      <c r="R136" s="4" t="n">
        <v>0</v>
      </c>
      <c r="S136" s="4" t="n">
        <f aca="false">MAX(0,Q136-J136)</f>
        <v>0</v>
      </c>
      <c r="T136" s="4" t="n">
        <f aca="false">IF(G136&lt;=0,"n/a",ROUND((I136+O136)/G136,0))</f>
        <v>37</v>
      </c>
      <c r="U136" s="4" t="s">
        <v>437</v>
      </c>
      <c r="V136" s="4" t="s">
        <v>446</v>
      </c>
    </row>
    <row r="137" customFormat="false" ht="15" hidden="false" customHeight="false" outlineLevel="0" collapsed="false">
      <c r="A137" s="4" t="s">
        <v>691</v>
      </c>
      <c r="B137" s="4" t="s">
        <v>692</v>
      </c>
      <c r="C137" s="4" t="s">
        <v>693</v>
      </c>
      <c r="D137" s="4" t="n">
        <v>0</v>
      </c>
      <c r="E137" s="4" t="n">
        <v>1</v>
      </c>
      <c r="F137" s="6" t="n">
        <f aca="false">IF((D137+E137)=0,0,E137/(D137+E137))</f>
        <v>1</v>
      </c>
      <c r="G137" s="4" t="n">
        <v>0.07</v>
      </c>
      <c r="H137" s="4" t="n">
        <v>3</v>
      </c>
      <c r="I137" s="4" t="n">
        <v>8</v>
      </c>
      <c r="J137" s="4" t="n">
        <v>568</v>
      </c>
      <c r="K137" s="4" t="n">
        <f aca="false">IF(G137&lt;=0,"n/a",ROUND(I137/G137,0))</f>
        <v>114</v>
      </c>
      <c r="L137" s="4" t="n">
        <v>2</v>
      </c>
      <c r="M137" s="4" t="n">
        <v>10</v>
      </c>
      <c r="N137" s="4" t="n">
        <v>0</v>
      </c>
      <c r="O137" s="4" t="n">
        <v>0</v>
      </c>
      <c r="P137" s="4" t="n">
        <v>0</v>
      </c>
      <c r="Q137" s="4" t="n">
        <f aca="false">O137+P137</f>
        <v>0</v>
      </c>
      <c r="R137" s="4" t="n">
        <v>0</v>
      </c>
      <c r="S137" s="4" t="n">
        <f aca="false">MAX(0,Q137-J137)</f>
        <v>0</v>
      </c>
      <c r="T137" s="4" t="n">
        <f aca="false">IF(G137&lt;=0,"n/a",ROUND((I137+O137)/G137,0))</f>
        <v>114</v>
      </c>
      <c r="U137" s="4" t="s">
        <v>437</v>
      </c>
      <c r="V137" s="4" t="s">
        <v>446</v>
      </c>
    </row>
    <row r="138" customFormat="false" ht="15" hidden="false" customHeight="false" outlineLevel="0" collapsed="false">
      <c r="A138" s="4" t="s">
        <v>694</v>
      </c>
      <c r="B138" s="4" t="s">
        <v>695</v>
      </c>
      <c r="C138" s="4" t="s">
        <v>696</v>
      </c>
      <c r="D138" s="4" t="n">
        <v>1</v>
      </c>
      <c r="E138" s="4" t="n">
        <v>0</v>
      </c>
      <c r="F138" s="6" t="n">
        <f aca="false">IF((D138+E138)=0,0,E138/(D138+E138))</f>
        <v>0</v>
      </c>
      <c r="G138" s="4" t="n">
        <v>0.07</v>
      </c>
      <c r="H138" s="4" t="n">
        <v>3</v>
      </c>
      <c r="I138" s="4" t="n">
        <v>3</v>
      </c>
      <c r="J138" s="4" t="n">
        <v>75</v>
      </c>
      <c r="K138" s="4" t="n">
        <f aca="false">IF(G138&lt;=0,"n/a",ROUND(I138/G138,0))</f>
        <v>43</v>
      </c>
      <c r="L138" s="4" t="n">
        <v>3</v>
      </c>
      <c r="M138" s="4" t="n">
        <v>0</v>
      </c>
      <c r="N138" s="4" t="n">
        <v>3</v>
      </c>
      <c r="O138" s="4" t="n">
        <v>0</v>
      </c>
      <c r="P138" s="4" t="n">
        <v>0</v>
      </c>
      <c r="Q138" s="4" t="n">
        <f aca="false">O138+P138</f>
        <v>0</v>
      </c>
      <c r="R138" s="4" t="n">
        <v>0</v>
      </c>
      <c r="S138" s="4" t="n">
        <f aca="false">MAX(0,Q138-J138)</f>
        <v>0</v>
      </c>
      <c r="T138" s="4" t="n">
        <f aca="false">IF(G138&lt;=0,"n/a",ROUND((I138+O138)/G138,0))</f>
        <v>43</v>
      </c>
      <c r="U138" s="4" t="s">
        <v>437</v>
      </c>
      <c r="V138" s="4" t="s">
        <v>442</v>
      </c>
    </row>
    <row r="139" customFormat="false" ht="15" hidden="false" customHeight="false" outlineLevel="0" collapsed="false">
      <c r="A139" s="4" t="s">
        <v>697</v>
      </c>
      <c r="B139" s="4" t="s">
        <v>698</v>
      </c>
      <c r="C139" s="4" t="s">
        <v>699</v>
      </c>
      <c r="D139" s="4" t="n">
        <v>1</v>
      </c>
      <c r="E139" s="4" t="n">
        <v>0</v>
      </c>
      <c r="F139" s="6" t="n">
        <f aca="false">IF((D139+E139)=0,0,E139/(D139+E139))</f>
        <v>0</v>
      </c>
      <c r="G139" s="4" t="n">
        <v>0.07</v>
      </c>
      <c r="H139" s="4" t="n">
        <v>3</v>
      </c>
      <c r="I139" s="4" t="n">
        <v>18</v>
      </c>
      <c r="J139" s="4" t="n">
        <v>71</v>
      </c>
      <c r="K139" s="4" t="n">
        <f aca="false">IF(G139&lt;=0,"n/a",ROUND(I139/G139,0))</f>
        <v>257</v>
      </c>
      <c r="L139" s="4" t="n">
        <v>0</v>
      </c>
      <c r="M139" s="4" t="n">
        <v>5</v>
      </c>
      <c r="N139" s="4" t="n">
        <v>0</v>
      </c>
      <c r="O139" s="4" t="n">
        <v>0</v>
      </c>
      <c r="P139" s="4" t="n">
        <v>0</v>
      </c>
      <c r="Q139" s="4" t="n">
        <f aca="false">O139+P139</f>
        <v>0</v>
      </c>
      <c r="R139" s="4" t="n">
        <v>0</v>
      </c>
      <c r="S139" s="4" t="n">
        <f aca="false">MAX(0,Q139-J139)</f>
        <v>0</v>
      </c>
      <c r="T139" s="4" t="n">
        <f aca="false">IF(G139&lt;=0,"n/a",ROUND((I139+O139)/G139,0))</f>
        <v>257</v>
      </c>
      <c r="U139" s="4" t="s">
        <v>437</v>
      </c>
      <c r="V139" s="4" t="s">
        <v>446</v>
      </c>
    </row>
    <row r="140" customFormat="false" ht="15" hidden="false" customHeight="false" outlineLevel="0" collapsed="false">
      <c r="A140" s="4" t="s">
        <v>700</v>
      </c>
      <c r="B140" s="4" t="s">
        <v>512</v>
      </c>
      <c r="C140" s="4" t="s">
        <v>701</v>
      </c>
      <c r="D140" s="4" t="n">
        <v>0</v>
      </c>
      <c r="E140" s="4" t="n">
        <v>3</v>
      </c>
      <c r="F140" s="6" t="n">
        <f aca="false">IF((D140+E140)=0,0,E140/(D140+E140))</f>
        <v>1</v>
      </c>
      <c r="G140" s="4" t="n">
        <v>0.2</v>
      </c>
      <c r="H140" s="4" t="n">
        <v>9</v>
      </c>
      <c r="I140" s="4" t="n">
        <v>14</v>
      </c>
      <c r="J140" s="4" t="n">
        <v>463</v>
      </c>
      <c r="K140" s="4" t="n">
        <f aca="false">IF(G140&lt;=0,"n/a",ROUND(I140/G140,0))</f>
        <v>70</v>
      </c>
      <c r="L140" s="4" t="n">
        <v>9</v>
      </c>
      <c r="M140" s="4" t="n">
        <v>45.9</v>
      </c>
      <c r="N140" s="4" t="n">
        <v>0</v>
      </c>
      <c r="O140" s="4" t="n">
        <v>0</v>
      </c>
      <c r="P140" s="4" t="n">
        <v>0</v>
      </c>
      <c r="Q140" s="4" t="n">
        <f aca="false">O140+P140</f>
        <v>0</v>
      </c>
      <c r="R140" s="4" t="n">
        <v>0</v>
      </c>
      <c r="S140" s="4" t="n">
        <f aca="false">MAX(0,Q140-J140)</f>
        <v>0</v>
      </c>
      <c r="T140" s="4" t="n">
        <f aca="false">IF(G140&lt;=0,"n/a",ROUND((I140+O140)/G140,0))</f>
        <v>70</v>
      </c>
      <c r="U140" s="4" t="s">
        <v>437</v>
      </c>
      <c r="V140" s="4" t="s">
        <v>446</v>
      </c>
    </row>
    <row r="141" customFormat="false" ht="15" hidden="false" customHeight="false" outlineLevel="0" collapsed="false">
      <c r="A141" s="4" t="s">
        <v>192</v>
      </c>
      <c r="B141" s="4" t="s">
        <v>193</v>
      </c>
      <c r="C141" s="4" t="s">
        <v>194</v>
      </c>
      <c r="D141" s="4" t="n">
        <v>9</v>
      </c>
      <c r="E141" s="4" t="n">
        <v>7</v>
      </c>
      <c r="F141" s="6" t="n">
        <f aca="false">IF((D141+E141)=0,0,E141/(D141+E141))</f>
        <v>0.4375</v>
      </c>
      <c r="G141" s="4" t="n">
        <v>1.07</v>
      </c>
      <c r="H141" s="4" t="n">
        <v>48</v>
      </c>
      <c r="I141" s="4" t="n">
        <v>27</v>
      </c>
      <c r="J141" s="4" t="n">
        <v>569</v>
      </c>
      <c r="K141" s="4" t="n">
        <f aca="false">IF(G141&lt;=0,"n/a",ROUND(I141/G141,0))</f>
        <v>25</v>
      </c>
      <c r="L141" s="4" t="n">
        <v>40</v>
      </c>
      <c r="M141" s="4" t="n">
        <v>5</v>
      </c>
      <c r="N141" s="4" t="n">
        <v>35</v>
      </c>
      <c r="O141" s="4" t="n">
        <v>19</v>
      </c>
      <c r="P141" s="4" t="n">
        <v>11</v>
      </c>
      <c r="Q141" s="4" t="n">
        <f aca="false">O141+P141</f>
        <v>30</v>
      </c>
      <c r="R141" s="4" t="n">
        <v>0</v>
      </c>
      <c r="S141" s="4" t="n">
        <f aca="false">MAX(0,Q141-J141)</f>
        <v>0</v>
      </c>
      <c r="T141" s="4" t="n">
        <f aca="false">IF(G141&lt;=0,"n/a",ROUND((I141+O141)/G141,0))</f>
        <v>43</v>
      </c>
      <c r="U141" s="4" t="s">
        <v>447</v>
      </c>
      <c r="V141" s="4" t="s">
        <v>438</v>
      </c>
    </row>
    <row r="142" customFormat="false" ht="15" hidden="false" customHeight="false" outlineLevel="0" collapsed="false">
      <c r="A142" s="4" t="s">
        <v>195</v>
      </c>
      <c r="B142" s="4" t="s">
        <v>196</v>
      </c>
      <c r="C142" s="4" t="s">
        <v>197</v>
      </c>
      <c r="D142" s="4" t="n">
        <v>1</v>
      </c>
      <c r="E142" s="4" t="n">
        <v>5</v>
      </c>
      <c r="F142" s="6" t="n">
        <f aca="false">IF((D142+E142)=0,0,E142/(D142+E142))</f>
        <v>0.833333333333333</v>
      </c>
      <c r="G142" s="4" t="n">
        <v>0.4</v>
      </c>
      <c r="H142" s="4" t="n">
        <v>18</v>
      </c>
      <c r="I142" s="4" t="n">
        <v>9</v>
      </c>
      <c r="J142" s="4" t="n">
        <v>95</v>
      </c>
      <c r="K142" s="4" t="n">
        <f aca="false">IF(G142&lt;=0,"n/a",ROUND(I142/G142,0))</f>
        <v>23</v>
      </c>
      <c r="L142" s="4" t="n">
        <v>18</v>
      </c>
      <c r="M142" s="4" t="n">
        <v>9.3</v>
      </c>
      <c r="N142" s="4" t="n">
        <v>8.7</v>
      </c>
      <c r="O142" s="4" t="n">
        <v>2</v>
      </c>
      <c r="P142" s="4" t="n">
        <v>7</v>
      </c>
      <c r="Q142" s="4" t="n">
        <f aca="false">O142+P142</f>
        <v>9</v>
      </c>
      <c r="R142" s="4" t="n">
        <v>0</v>
      </c>
      <c r="S142" s="4" t="n">
        <f aca="false">MAX(0,Q142-J142)</f>
        <v>0</v>
      </c>
      <c r="T142" s="4" t="n">
        <f aca="false">IF(G142&lt;=0,"n/a",ROUND((I142+O142)/G142,0))</f>
        <v>28</v>
      </c>
      <c r="U142" s="4" t="s">
        <v>437</v>
      </c>
      <c r="V142" s="4" t="s">
        <v>438</v>
      </c>
    </row>
    <row r="143" customFormat="false" ht="15" hidden="false" customHeight="false" outlineLevel="0" collapsed="false">
      <c r="A143" s="4" t="s">
        <v>702</v>
      </c>
      <c r="B143" s="4" t="s">
        <v>703</v>
      </c>
      <c r="C143" s="4" t="s">
        <v>704</v>
      </c>
      <c r="D143" s="4" t="n">
        <v>0</v>
      </c>
      <c r="E143" s="4" t="n">
        <v>1</v>
      </c>
      <c r="F143" s="6" t="n">
        <f aca="false">IF((D143+E143)=0,0,E143/(D143+E143))</f>
        <v>1</v>
      </c>
      <c r="G143" s="4" t="n">
        <v>0.07</v>
      </c>
      <c r="H143" s="4" t="n">
        <v>3</v>
      </c>
      <c r="I143" s="4" t="n">
        <v>0</v>
      </c>
      <c r="J143" s="4" t="n">
        <v>99</v>
      </c>
      <c r="K143" s="4" t="n">
        <f aca="false">IF(G143&lt;=0,"n/a",ROUND(I143/G143,0))</f>
        <v>0</v>
      </c>
      <c r="L143" s="4" t="n">
        <v>3</v>
      </c>
      <c r="M143" s="4" t="n">
        <v>21.1</v>
      </c>
      <c r="N143" s="4" t="n">
        <v>0</v>
      </c>
      <c r="O143" s="4" t="n">
        <v>0</v>
      </c>
      <c r="P143" s="4" t="n">
        <v>0</v>
      </c>
      <c r="Q143" s="4" t="n">
        <f aca="false">O143+P143</f>
        <v>0</v>
      </c>
      <c r="R143" s="4" t="n">
        <v>0</v>
      </c>
      <c r="S143" s="4" t="n">
        <f aca="false">MAX(0,Q143-J143)</f>
        <v>0</v>
      </c>
      <c r="T143" s="4" t="n">
        <f aca="false">IF(G143&lt;=0,"n/a",ROUND((I143+O143)/G143,0))</f>
        <v>0</v>
      </c>
      <c r="U143" s="4" t="s">
        <v>437</v>
      </c>
      <c r="V143" s="4" t="s">
        <v>446</v>
      </c>
    </row>
    <row r="144" customFormat="false" ht="15" hidden="false" customHeight="false" outlineLevel="0" collapsed="false">
      <c r="A144" s="4" t="s">
        <v>198</v>
      </c>
      <c r="B144" s="4" t="s">
        <v>199</v>
      </c>
      <c r="C144" s="4" t="s">
        <v>200</v>
      </c>
      <c r="D144" s="4" t="n">
        <v>0</v>
      </c>
      <c r="E144" s="4" t="n">
        <v>3</v>
      </c>
      <c r="F144" s="6" t="n">
        <f aca="false">IF((D144+E144)=0,0,E144/(D144+E144))</f>
        <v>1</v>
      </c>
      <c r="G144" s="4" t="n">
        <v>0.2</v>
      </c>
      <c r="H144" s="4" t="n">
        <v>9</v>
      </c>
      <c r="I144" s="4" t="n">
        <v>3</v>
      </c>
      <c r="J144" s="4" t="n">
        <v>97</v>
      </c>
      <c r="K144" s="4" t="n">
        <f aca="false">IF(G144&lt;=0,"n/a",ROUND(I144/G144,0))</f>
        <v>15</v>
      </c>
      <c r="L144" s="4" t="n">
        <v>9</v>
      </c>
      <c r="M144" s="4" t="n">
        <v>6.4</v>
      </c>
      <c r="N144" s="4" t="n">
        <v>2.6</v>
      </c>
      <c r="O144" s="4" t="n">
        <v>3</v>
      </c>
      <c r="P144" s="4" t="n">
        <v>0</v>
      </c>
      <c r="Q144" s="4" t="n">
        <f aca="false">O144+P144</f>
        <v>3</v>
      </c>
      <c r="R144" s="4" t="n">
        <v>0</v>
      </c>
      <c r="S144" s="4" t="n">
        <f aca="false">MAX(0,Q144-J144)</f>
        <v>0</v>
      </c>
      <c r="T144" s="4" t="n">
        <f aca="false">IF(G144&lt;=0,"n/a",ROUND((I144+O144)/G144,0))</f>
        <v>30</v>
      </c>
      <c r="U144" s="4" t="s">
        <v>437</v>
      </c>
      <c r="V144" s="4" t="s">
        <v>448</v>
      </c>
    </row>
    <row r="145" customFormat="false" ht="15" hidden="false" customHeight="false" outlineLevel="0" collapsed="false">
      <c r="A145" s="4" t="s">
        <v>705</v>
      </c>
      <c r="B145" s="4" t="s">
        <v>706</v>
      </c>
      <c r="C145" s="4" t="s">
        <v>707</v>
      </c>
      <c r="D145" s="4" t="n">
        <v>0</v>
      </c>
      <c r="E145" s="4" t="n">
        <v>1</v>
      </c>
      <c r="F145" s="6" t="n">
        <f aca="false">IF((D145+E145)=0,0,E145/(D145+E145))</f>
        <v>1</v>
      </c>
      <c r="G145" s="4" t="n">
        <v>0.07</v>
      </c>
      <c r="H145" s="4" t="n">
        <v>3</v>
      </c>
      <c r="I145" s="4" t="n">
        <v>14</v>
      </c>
      <c r="J145" s="4" t="n">
        <v>99</v>
      </c>
      <c r="K145" s="4" t="n">
        <f aca="false">IF(G145&lt;=0,"n/a",ROUND(I145/G145,0))</f>
        <v>200</v>
      </c>
      <c r="L145" s="4" t="n">
        <v>2</v>
      </c>
      <c r="M145" s="4" t="n">
        <v>0</v>
      </c>
      <c r="N145" s="4" t="n">
        <v>2</v>
      </c>
      <c r="O145" s="4" t="n">
        <v>0</v>
      </c>
      <c r="P145" s="4" t="n">
        <v>0</v>
      </c>
      <c r="Q145" s="4" t="n">
        <f aca="false">O145+P145</f>
        <v>0</v>
      </c>
      <c r="R145" s="4" t="n">
        <v>0</v>
      </c>
      <c r="S145" s="4" t="n">
        <f aca="false">MAX(0,Q145-J145)</f>
        <v>0</v>
      </c>
      <c r="T145" s="4" t="n">
        <f aca="false">IF(G145&lt;=0,"n/a",ROUND((I145+O145)/G145,0))</f>
        <v>200</v>
      </c>
      <c r="U145" s="4" t="s">
        <v>437</v>
      </c>
      <c r="V145" s="4" t="s">
        <v>442</v>
      </c>
    </row>
    <row r="146" customFormat="false" ht="15" hidden="false" customHeight="false" outlineLevel="0" collapsed="false">
      <c r="A146" s="4" t="s">
        <v>708</v>
      </c>
      <c r="B146" s="4" t="s">
        <v>709</v>
      </c>
      <c r="C146" s="4" t="s">
        <v>710</v>
      </c>
      <c r="D146" s="4" t="n">
        <v>0</v>
      </c>
      <c r="E146" s="4" t="n">
        <v>4</v>
      </c>
      <c r="F146" s="6" t="n">
        <f aca="false">IF((D146+E146)=0,0,E146/(D146+E146))</f>
        <v>1</v>
      </c>
      <c r="G146" s="4" t="n">
        <v>0.27</v>
      </c>
      <c r="H146" s="4" t="n">
        <v>12</v>
      </c>
      <c r="I146" s="4" t="n">
        <v>14</v>
      </c>
      <c r="J146" s="4" t="n">
        <v>96</v>
      </c>
      <c r="K146" s="4" t="n">
        <f aca="false">IF(G146&lt;=0,"n/a",ROUND(I146/G146,0))</f>
        <v>52</v>
      </c>
      <c r="L146" s="4" t="n">
        <v>11</v>
      </c>
      <c r="M146" s="4" t="n">
        <v>22.8</v>
      </c>
      <c r="N146" s="4" t="n">
        <v>0</v>
      </c>
      <c r="O146" s="4" t="n">
        <v>0</v>
      </c>
      <c r="P146" s="4" t="n">
        <v>0</v>
      </c>
      <c r="Q146" s="4" t="n">
        <f aca="false">O146+P146</f>
        <v>0</v>
      </c>
      <c r="R146" s="4" t="n">
        <v>0</v>
      </c>
      <c r="S146" s="4" t="n">
        <f aca="false">MAX(0,Q146-J146)</f>
        <v>0</v>
      </c>
      <c r="T146" s="4" t="n">
        <f aca="false">IF(G146&lt;=0,"n/a",ROUND((I146+O146)/G146,0))</f>
        <v>52</v>
      </c>
      <c r="U146" s="4" t="s">
        <v>437</v>
      </c>
      <c r="V146" s="4" t="s">
        <v>446</v>
      </c>
    </row>
    <row r="147" customFormat="false" ht="15" hidden="false" customHeight="false" outlineLevel="0" collapsed="false">
      <c r="A147" s="4" t="s">
        <v>711</v>
      </c>
      <c r="B147" s="4" t="s">
        <v>712</v>
      </c>
      <c r="C147" s="4" t="s">
        <v>713</v>
      </c>
      <c r="D147" s="4" t="n">
        <v>0</v>
      </c>
      <c r="E147" s="4" t="n">
        <v>1</v>
      </c>
      <c r="F147" s="6" t="n">
        <f aca="false">IF((D147+E147)=0,0,E147/(D147+E147))</f>
        <v>1</v>
      </c>
      <c r="G147" s="4" t="n">
        <v>0.07</v>
      </c>
      <c r="H147" s="4" t="n">
        <v>3</v>
      </c>
      <c r="I147" s="4" t="n">
        <v>0</v>
      </c>
      <c r="J147" s="4" t="n">
        <v>99</v>
      </c>
      <c r="K147" s="4" t="n">
        <f aca="false">IF(G147&lt;=0,"n/a",ROUND(I147/G147,0))</f>
        <v>0</v>
      </c>
      <c r="L147" s="4" t="n">
        <v>3</v>
      </c>
      <c r="M147" s="4" t="n">
        <v>0</v>
      </c>
      <c r="N147" s="4" t="n">
        <v>3</v>
      </c>
      <c r="O147" s="4" t="n">
        <v>0</v>
      </c>
      <c r="P147" s="4" t="n">
        <v>0</v>
      </c>
      <c r="Q147" s="4" t="n">
        <f aca="false">O147+P147</f>
        <v>0</v>
      </c>
      <c r="R147" s="4" t="n">
        <v>0</v>
      </c>
      <c r="S147" s="4" t="n">
        <f aca="false">MAX(0,Q147-J147)</f>
        <v>0</v>
      </c>
      <c r="T147" s="4" t="n">
        <f aca="false">IF(G147&lt;=0,"n/a",ROUND((I147+O147)/G147,0))</f>
        <v>0</v>
      </c>
      <c r="U147" s="4" t="s">
        <v>437</v>
      </c>
      <c r="V147" s="4" t="s">
        <v>442</v>
      </c>
    </row>
    <row r="148" customFormat="false" ht="15" hidden="false" customHeight="false" outlineLevel="0" collapsed="false">
      <c r="A148" s="4" t="s">
        <v>201</v>
      </c>
      <c r="B148" s="4" t="s">
        <v>202</v>
      </c>
      <c r="C148" s="4" t="s">
        <v>203</v>
      </c>
      <c r="D148" s="4" t="n">
        <v>8</v>
      </c>
      <c r="E148" s="4" t="n">
        <v>31</v>
      </c>
      <c r="F148" s="6" t="n">
        <f aca="false">IF((D148+E148)=0,0,E148/(D148+E148))</f>
        <v>0.794871794871795</v>
      </c>
      <c r="G148" s="4" t="n">
        <v>2.6</v>
      </c>
      <c r="H148" s="4" t="n">
        <v>117</v>
      </c>
      <c r="I148" s="4" t="n">
        <v>7</v>
      </c>
      <c r="J148" s="4" t="n">
        <v>514</v>
      </c>
      <c r="K148" s="4" t="n">
        <f aca="false">IF(G148&lt;=0,"n/a",ROUND(I148/G148,0))</f>
        <v>3</v>
      </c>
      <c r="L148" s="4" t="n">
        <v>111</v>
      </c>
      <c r="M148" s="4" t="n">
        <v>83.9</v>
      </c>
      <c r="N148" s="4" t="n">
        <v>27.1</v>
      </c>
      <c r="O148" s="4" t="n">
        <v>17</v>
      </c>
      <c r="P148" s="4" t="n">
        <v>4</v>
      </c>
      <c r="Q148" s="4" t="n">
        <f aca="false">O148+P148</f>
        <v>21</v>
      </c>
      <c r="R148" s="4" t="n">
        <v>0</v>
      </c>
      <c r="S148" s="4" t="n">
        <f aca="false">MAX(0,Q148-J148)</f>
        <v>0</v>
      </c>
      <c r="T148" s="4" t="n">
        <f aca="false">IF(G148&lt;=0,"n/a",ROUND((I148+O148)/G148,0))</f>
        <v>9</v>
      </c>
      <c r="U148" s="4" t="s">
        <v>479</v>
      </c>
      <c r="V148" s="4" t="s">
        <v>438</v>
      </c>
    </row>
    <row r="149" customFormat="false" ht="15" hidden="false" customHeight="false" outlineLevel="0" collapsed="false">
      <c r="A149" s="4" t="s">
        <v>714</v>
      </c>
      <c r="B149" s="4" t="s">
        <v>715</v>
      </c>
      <c r="C149" s="4" t="s">
        <v>716</v>
      </c>
      <c r="D149" s="4" t="n">
        <v>13</v>
      </c>
      <c r="E149" s="4" t="n">
        <v>11</v>
      </c>
      <c r="F149" s="6" t="n">
        <f aca="false">IF((D149+E149)=0,0,E149/(D149+E149))</f>
        <v>0.458333333333333</v>
      </c>
      <c r="G149" s="4" t="n">
        <v>1.6</v>
      </c>
      <c r="H149" s="4" t="n">
        <v>72</v>
      </c>
      <c r="I149" s="4" t="n">
        <v>107</v>
      </c>
      <c r="J149" s="4" t="n">
        <v>446</v>
      </c>
      <c r="K149" s="4" t="n">
        <f aca="false">IF(G149&lt;=0,"n/a",ROUND(I149/G149,0))</f>
        <v>67</v>
      </c>
      <c r="L149" s="4" t="n">
        <v>27.1</v>
      </c>
      <c r="M149" s="4" t="n">
        <v>67.9</v>
      </c>
      <c r="N149" s="4" t="n">
        <v>0</v>
      </c>
      <c r="O149" s="4" t="n">
        <v>0</v>
      </c>
      <c r="P149" s="4" t="n">
        <v>0</v>
      </c>
      <c r="Q149" s="4" t="n">
        <f aca="false">O149+P149</f>
        <v>0</v>
      </c>
      <c r="R149" s="4" t="n">
        <v>0</v>
      </c>
      <c r="S149" s="4" t="n">
        <f aca="false">MAX(0,Q149-J149)</f>
        <v>0</v>
      </c>
      <c r="T149" s="4" t="n">
        <f aca="false">IF(G149&lt;=0,"n/a",ROUND((I149+O149)/G149,0))</f>
        <v>67</v>
      </c>
      <c r="U149" s="4" t="s">
        <v>447</v>
      </c>
      <c r="V149" s="4" t="s">
        <v>446</v>
      </c>
    </row>
    <row r="150" customFormat="false" ht="15" hidden="false" customHeight="false" outlineLevel="0" collapsed="false">
      <c r="A150" s="4" t="s">
        <v>204</v>
      </c>
      <c r="B150" s="4" t="s">
        <v>205</v>
      </c>
      <c r="C150" s="4" t="s">
        <v>206</v>
      </c>
      <c r="D150" s="4" t="n">
        <v>0</v>
      </c>
      <c r="E150" s="4" t="n">
        <v>2</v>
      </c>
      <c r="F150" s="6" t="n">
        <f aca="false">IF((D150+E150)=0,0,E150/(D150+E150))</f>
        <v>1</v>
      </c>
      <c r="G150" s="4" t="n">
        <v>0.13</v>
      </c>
      <c r="H150" s="4" t="n">
        <v>6</v>
      </c>
      <c r="I150" s="4" t="n">
        <v>15</v>
      </c>
      <c r="J150" s="4" t="n">
        <v>441</v>
      </c>
      <c r="K150" s="4" t="n">
        <f aca="false">IF(G150&lt;=0,"n/a",ROUND(I150/G150,0))</f>
        <v>115</v>
      </c>
      <c r="L150" s="4" t="n">
        <v>5</v>
      </c>
      <c r="M150" s="4" t="n">
        <v>0</v>
      </c>
      <c r="N150" s="4" t="n">
        <v>5</v>
      </c>
      <c r="O150" s="4" t="n">
        <v>5</v>
      </c>
      <c r="P150" s="4" t="n">
        <v>0</v>
      </c>
      <c r="Q150" s="4" t="n">
        <f aca="false">O150+P150</f>
        <v>5</v>
      </c>
      <c r="R150" s="4" t="n">
        <v>0</v>
      </c>
      <c r="S150" s="4" t="n">
        <f aca="false">MAX(0,Q150-J150)</f>
        <v>0</v>
      </c>
      <c r="T150" s="4" t="n">
        <f aca="false">IF(G150&lt;=0,"n/a",ROUND((I150+O150)/G150,0))</f>
        <v>154</v>
      </c>
      <c r="U150" s="4" t="s">
        <v>437</v>
      </c>
      <c r="V150" s="4" t="s">
        <v>448</v>
      </c>
    </row>
    <row r="151" customFormat="false" ht="15" hidden="false" customHeight="false" outlineLevel="0" collapsed="false">
      <c r="A151" s="4" t="s">
        <v>207</v>
      </c>
      <c r="B151" s="4" t="s">
        <v>208</v>
      </c>
      <c r="C151" s="4" t="s">
        <v>209</v>
      </c>
      <c r="D151" s="4" t="n">
        <v>78</v>
      </c>
      <c r="E151" s="4" t="n">
        <v>16</v>
      </c>
      <c r="F151" s="6" t="n">
        <f aca="false">IF((D151+E151)=0,0,E151/(D151+E151))</f>
        <v>0.170212765957447</v>
      </c>
      <c r="G151" s="4" t="n">
        <v>6.27</v>
      </c>
      <c r="H151" s="4" t="n">
        <v>282</v>
      </c>
      <c r="I151" s="4" t="n">
        <v>41</v>
      </c>
      <c r="J151" s="4" t="n">
        <v>479</v>
      </c>
      <c r="K151" s="4" t="n">
        <f aca="false">IF(G151&lt;=0,"n/a",ROUND(I151/G151,0))</f>
        <v>7</v>
      </c>
      <c r="L151" s="4" t="n">
        <v>256</v>
      </c>
      <c r="M151" s="4" t="n">
        <v>77.2</v>
      </c>
      <c r="N151" s="4" t="n">
        <v>178.8</v>
      </c>
      <c r="O151" s="4" t="n">
        <v>106</v>
      </c>
      <c r="P151" s="4" t="n">
        <v>62</v>
      </c>
      <c r="Q151" s="4" t="n">
        <f aca="false">O151+P151</f>
        <v>168</v>
      </c>
      <c r="R151" s="4" t="n">
        <v>0</v>
      </c>
      <c r="S151" s="4" t="n">
        <f aca="false">MAX(0,Q151-J151)</f>
        <v>0</v>
      </c>
      <c r="T151" s="4" t="n">
        <f aca="false">IF(G151&lt;=0,"n/a",ROUND((I151+O151)/G151,0))</f>
        <v>23</v>
      </c>
      <c r="U151" s="4" t="s">
        <v>479</v>
      </c>
      <c r="V151" s="4" t="s">
        <v>438</v>
      </c>
    </row>
    <row r="152" customFormat="false" ht="15" hidden="false" customHeight="false" outlineLevel="0" collapsed="false">
      <c r="A152" s="4" t="s">
        <v>210</v>
      </c>
      <c r="B152" s="4" t="s">
        <v>211</v>
      </c>
      <c r="C152" s="4" t="s">
        <v>212</v>
      </c>
      <c r="D152" s="4" t="n">
        <v>70</v>
      </c>
      <c r="E152" s="4" t="n">
        <v>14</v>
      </c>
      <c r="F152" s="6" t="n">
        <f aca="false">IF((D152+E152)=0,0,E152/(D152+E152))</f>
        <v>0.166666666666667</v>
      </c>
      <c r="G152" s="4" t="n">
        <v>5.6</v>
      </c>
      <c r="H152" s="4" t="n">
        <v>252</v>
      </c>
      <c r="I152" s="4" t="n">
        <v>51</v>
      </c>
      <c r="J152" s="4" t="n">
        <v>565</v>
      </c>
      <c r="K152" s="4" t="n">
        <f aca="false">IF(G152&lt;=0,"n/a",ROUND(I152/G152,0))</f>
        <v>9</v>
      </c>
      <c r="L152" s="4" t="n">
        <v>210.8</v>
      </c>
      <c r="M152" s="4" t="n">
        <v>50</v>
      </c>
      <c r="N152" s="4" t="n">
        <v>160.8</v>
      </c>
      <c r="O152" s="4" t="n">
        <v>83</v>
      </c>
      <c r="P152" s="4" t="n">
        <v>68</v>
      </c>
      <c r="Q152" s="4" t="n">
        <f aca="false">O152+P152</f>
        <v>151</v>
      </c>
      <c r="R152" s="4" t="n">
        <v>0</v>
      </c>
      <c r="S152" s="4" t="n">
        <f aca="false">MAX(0,Q152-J152)</f>
        <v>0</v>
      </c>
      <c r="T152" s="4" t="n">
        <f aca="false">IF(G152&lt;=0,"n/a",ROUND((I152+O152)/G152,0))</f>
        <v>24</v>
      </c>
      <c r="U152" s="4" t="s">
        <v>447</v>
      </c>
      <c r="V152" s="4" t="s">
        <v>438</v>
      </c>
    </row>
    <row r="153" customFormat="false" ht="15" hidden="false" customHeight="false" outlineLevel="0" collapsed="false">
      <c r="A153" s="4" t="s">
        <v>213</v>
      </c>
      <c r="B153" s="4" t="s">
        <v>214</v>
      </c>
      <c r="C153" s="4" t="s">
        <v>215</v>
      </c>
      <c r="D153" s="4" t="n">
        <v>4</v>
      </c>
      <c r="E153" s="4" t="n">
        <v>2</v>
      </c>
      <c r="F153" s="6" t="n">
        <f aca="false">IF((D153+E153)=0,0,E153/(D153+E153))</f>
        <v>0.333333333333333</v>
      </c>
      <c r="G153" s="4" t="n">
        <v>0.4</v>
      </c>
      <c r="H153" s="4" t="n">
        <v>18</v>
      </c>
      <c r="I153" s="4" t="n">
        <v>21</v>
      </c>
      <c r="J153" s="4" t="n">
        <v>501</v>
      </c>
      <c r="K153" s="4" t="n">
        <f aca="false">IF(G153&lt;=0,"n/a",ROUND(I153/G153,0))</f>
        <v>53</v>
      </c>
      <c r="L153" s="4" t="n">
        <v>14</v>
      </c>
      <c r="M153" s="4" t="n">
        <v>8</v>
      </c>
      <c r="N153" s="4" t="n">
        <v>6</v>
      </c>
      <c r="O153" s="4" t="n">
        <v>4</v>
      </c>
      <c r="P153" s="4" t="n">
        <v>0</v>
      </c>
      <c r="Q153" s="4" t="n">
        <f aca="false">O153+P153</f>
        <v>4</v>
      </c>
      <c r="R153" s="4" t="n">
        <v>0</v>
      </c>
      <c r="S153" s="4" t="n">
        <f aca="false">MAX(0,Q153-J153)</f>
        <v>0</v>
      </c>
      <c r="T153" s="4" t="n">
        <f aca="false">IF(G153&lt;=0,"n/a",ROUND((I153+O153)/G153,0))</f>
        <v>63</v>
      </c>
      <c r="U153" s="4" t="s">
        <v>447</v>
      </c>
      <c r="V153" s="4" t="s">
        <v>448</v>
      </c>
    </row>
    <row r="154" customFormat="false" ht="15" hidden="false" customHeight="false" outlineLevel="0" collapsed="false">
      <c r="A154" s="4" t="s">
        <v>216</v>
      </c>
      <c r="B154" s="4" t="s">
        <v>217</v>
      </c>
      <c r="C154" s="4" t="s">
        <v>218</v>
      </c>
      <c r="D154" s="4" t="n">
        <v>19</v>
      </c>
      <c r="E154" s="4" t="n">
        <v>7</v>
      </c>
      <c r="F154" s="6" t="n">
        <f aca="false">IF((D154+E154)=0,0,E154/(D154+E154))</f>
        <v>0.269230769230769</v>
      </c>
      <c r="G154" s="4" t="n">
        <v>1.73</v>
      </c>
      <c r="H154" s="4" t="n">
        <v>78</v>
      </c>
      <c r="I154" s="4" t="n">
        <v>34</v>
      </c>
      <c r="J154" s="4" t="n">
        <v>520</v>
      </c>
      <c r="K154" s="4" t="n">
        <f aca="false">IF(G154&lt;=0,"n/a",ROUND(I154/G154,0))</f>
        <v>20</v>
      </c>
      <c r="L154" s="4" t="n">
        <v>54</v>
      </c>
      <c r="M154" s="4" t="n">
        <v>48.4</v>
      </c>
      <c r="N154" s="4" t="n">
        <v>5.6</v>
      </c>
      <c r="O154" s="4" t="n">
        <v>12</v>
      </c>
      <c r="P154" s="4" t="n">
        <v>0</v>
      </c>
      <c r="Q154" s="4" t="n">
        <f aca="false">O154+P154</f>
        <v>12</v>
      </c>
      <c r="R154" s="4" t="n">
        <v>0</v>
      </c>
      <c r="S154" s="4" t="n">
        <f aca="false">MAX(0,Q154-J154)</f>
        <v>0</v>
      </c>
      <c r="T154" s="4" t="n">
        <f aca="false">IF(G154&lt;=0,"n/a",ROUND((I154+O154)/G154,0))</f>
        <v>27</v>
      </c>
      <c r="U154" s="4" t="s">
        <v>447</v>
      </c>
      <c r="V154" s="4" t="s">
        <v>448</v>
      </c>
    </row>
    <row r="155" customFormat="false" ht="15" hidden="false" customHeight="false" outlineLevel="0" collapsed="false">
      <c r="A155" s="4" t="s">
        <v>717</v>
      </c>
      <c r="B155" s="4" t="s">
        <v>718</v>
      </c>
      <c r="C155" s="4" t="s">
        <v>719</v>
      </c>
      <c r="D155" s="4" t="n">
        <v>5</v>
      </c>
      <c r="E155" s="4" t="n">
        <v>1</v>
      </c>
      <c r="F155" s="6" t="n">
        <f aca="false">IF((D155+E155)=0,0,E155/(D155+E155))</f>
        <v>0.166666666666667</v>
      </c>
      <c r="G155" s="4" t="n">
        <v>0.4</v>
      </c>
      <c r="H155" s="4" t="n">
        <v>18</v>
      </c>
      <c r="I155" s="4" t="n">
        <v>47</v>
      </c>
      <c r="J155" s="4" t="n">
        <v>598</v>
      </c>
      <c r="K155" s="4" t="n">
        <f aca="false">IF(G155&lt;=0,"n/a",ROUND(I155/G155,0))</f>
        <v>118</v>
      </c>
      <c r="L155" s="4" t="n">
        <v>2</v>
      </c>
      <c r="M155" s="4" t="n">
        <v>21.3</v>
      </c>
      <c r="N155" s="4" t="n">
        <v>0</v>
      </c>
      <c r="O155" s="4" t="n">
        <v>0</v>
      </c>
      <c r="P155" s="4" t="n">
        <v>0</v>
      </c>
      <c r="Q155" s="4" t="n">
        <f aca="false">O155+P155</f>
        <v>0</v>
      </c>
      <c r="R155" s="4" t="n">
        <v>0</v>
      </c>
      <c r="S155" s="4" t="n">
        <f aca="false">MAX(0,Q155-J155)</f>
        <v>0</v>
      </c>
      <c r="T155" s="4" t="n">
        <f aca="false">IF(G155&lt;=0,"n/a",ROUND((I155+O155)/G155,0))</f>
        <v>118</v>
      </c>
      <c r="U155" s="4" t="s">
        <v>447</v>
      </c>
      <c r="V155" s="4" t="s">
        <v>446</v>
      </c>
    </row>
    <row r="156" customFormat="false" ht="15" hidden="false" customHeight="false" outlineLevel="0" collapsed="false">
      <c r="A156" s="4" t="s">
        <v>219</v>
      </c>
      <c r="B156" s="4" t="s">
        <v>220</v>
      </c>
      <c r="C156" s="4" t="s">
        <v>221</v>
      </c>
      <c r="D156" s="4" t="n">
        <v>12</v>
      </c>
      <c r="E156" s="4" t="n">
        <v>2</v>
      </c>
      <c r="F156" s="6" t="n">
        <f aca="false">IF((D156+E156)=0,0,E156/(D156+E156))</f>
        <v>0.142857142857143</v>
      </c>
      <c r="G156" s="4" t="n">
        <v>0.93</v>
      </c>
      <c r="H156" s="4" t="n">
        <v>42</v>
      </c>
      <c r="I156" s="4" t="n">
        <v>39</v>
      </c>
      <c r="J156" s="4" t="n">
        <v>555</v>
      </c>
      <c r="K156" s="4" t="n">
        <f aca="false">IF(G156&lt;=0,"n/a",ROUND(I156/G156,0))</f>
        <v>42</v>
      </c>
      <c r="L156" s="4" t="n">
        <v>31</v>
      </c>
      <c r="M156" s="4" t="n">
        <v>29.9</v>
      </c>
      <c r="N156" s="4" t="n">
        <v>1.1</v>
      </c>
      <c r="O156" s="4" t="n">
        <v>8</v>
      </c>
      <c r="P156" s="4" t="n">
        <v>0</v>
      </c>
      <c r="Q156" s="4" t="n">
        <f aca="false">O156+P156</f>
        <v>8</v>
      </c>
      <c r="R156" s="4" t="n">
        <v>0</v>
      </c>
      <c r="S156" s="4" t="n">
        <f aca="false">MAX(0,Q156-J156)</f>
        <v>0</v>
      </c>
      <c r="T156" s="4" t="n">
        <f aca="false">IF(G156&lt;=0,"n/a",ROUND((I156+O156)/G156,0))</f>
        <v>51</v>
      </c>
      <c r="U156" s="4" t="s">
        <v>447</v>
      </c>
      <c r="V156" s="4" t="s">
        <v>448</v>
      </c>
    </row>
    <row r="157" customFormat="false" ht="15" hidden="false" customHeight="false" outlineLevel="0" collapsed="false">
      <c r="A157" s="4" t="s">
        <v>222</v>
      </c>
      <c r="B157" s="4" t="s">
        <v>223</v>
      </c>
      <c r="C157" s="4" t="s">
        <v>224</v>
      </c>
      <c r="D157" s="4" t="n">
        <v>169</v>
      </c>
      <c r="E157" s="4" t="n">
        <v>29</v>
      </c>
      <c r="F157" s="6" t="n">
        <f aca="false">IF((D157+E157)=0,0,E157/(D157+E157))</f>
        <v>0.146464646464646</v>
      </c>
      <c r="G157" s="4" t="n">
        <v>13.2</v>
      </c>
      <c r="H157" s="4" t="n">
        <v>594</v>
      </c>
      <c r="I157" s="4" t="n">
        <v>116</v>
      </c>
      <c r="J157" s="4" t="n">
        <v>1200</v>
      </c>
      <c r="K157" s="4" t="n">
        <f aca="false">IF(G157&lt;=0,"n/a",ROUND(I157/G157,0))</f>
        <v>9</v>
      </c>
      <c r="L157" s="4" t="n">
        <v>505</v>
      </c>
      <c r="M157" s="4" t="n">
        <v>351.1</v>
      </c>
      <c r="N157" s="4" t="n">
        <v>153.9</v>
      </c>
      <c r="O157" s="4" t="n">
        <v>101</v>
      </c>
      <c r="P157" s="4" t="n">
        <v>50</v>
      </c>
      <c r="Q157" s="4" t="n">
        <f aca="false">O157+P157</f>
        <v>151</v>
      </c>
      <c r="R157" s="4" t="n">
        <v>0</v>
      </c>
      <c r="S157" s="4" t="n">
        <f aca="false">MAX(0,Q157-J157)</f>
        <v>0</v>
      </c>
      <c r="T157" s="4" t="n">
        <f aca="false">IF(G157&lt;=0,"n/a",ROUND((I157+O157)/G157,0))</f>
        <v>16</v>
      </c>
      <c r="U157" s="4" t="s">
        <v>479</v>
      </c>
      <c r="V157" s="4" t="s">
        <v>438</v>
      </c>
    </row>
    <row r="158" customFormat="false" ht="15" hidden="false" customHeight="false" outlineLevel="0" collapsed="false">
      <c r="A158" s="4" t="s">
        <v>225</v>
      </c>
      <c r="B158" s="4" t="s">
        <v>226</v>
      </c>
      <c r="C158" s="4" t="s">
        <v>227</v>
      </c>
      <c r="D158" s="4" t="n">
        <v>14</v>
      </c>
      <c r="E158" s="4" t="n">
        <v>10</v>
      </c>
      <c r="F158" s="6" t="n">
        <f aca="false">IF((D158+E158)=0,0,E158/(D158+E158))</f>
        <v>0.416666666666667</v>
      </c>
      <c r="G158" s="4" t="n">
        <v>1.6</v>
      </c>
      <c r="H158" s="4" t="n">
        <v>72</v>
      </c>
      <c r="I158" s="4" t="n">
        <v>18</v>
      </c>
      <c r="J158" s="4" t="n">
        <v>474</v>
      </c>
      <c r="K158" s="4" t="n">
        <f aca="false">IF(G158&lt;=0,"n/a",ROUND(I158/G158,0))</f>
        <v>11</v>
      </c>
      <c r="L158" s="4" t="n">
        <v>63</v>
      </c>
      <c r="M158" s="4" t="n">
        <v>13.8</v>
      </c>
      <c r="N158" s="4" t="n">
        <v>49.2</v>
      </c>
      <c r="O158" s="4" t="n">
        <v>21</v>
      </c>
      <c r="P158" s="4" t="n">
        <v>9</v>
      </c>
      <c r="Q158" s="4" t="n">
        <f aca="false">O158+P158</f>
        <v>30</v>
      </c>
      <c r="R158" s="4" t="n">
        <v>0</v>
      </c>
      <c r="S158" s="4" t="n">
        <f aca="false">MAX(0,Q158-J158)</f>
        <v>0</v>
      </c>
      <c r="T158" s="4" t="n">
        <f aca="false">IF(G158&lt;=0,"n/a",ROUND((I158+O158)/G158,0))</f>
        <v>24</v>
      </c>
      <c r="U158" s="4" t="s">
        <v>447</v>
      </c>
      <c r="V158" s="4" t="s">
        <v>438</v>
      </c>
    </row>
    <row r="159" customFormat="false" ht="15" hidden="false" customHeight="false" outlineLevel="0" collapsed="false">
      <c r="A159" s="4" t="s">
        <v>228</v>
      </c>
      <c r="B159" s="4" t="s">
        <v>229</v>
      </c>
      <c r="C159" s="4" t="s">
        <v>230</v>
      </c>
      <c r="D159" s="4" t="n">
        <v>49</v>
      </c>
      <c r="E159" s="4" t="n">
        <v>62</v>
      </c>
      <c r="F159" s="6" t="n">
        <f aca="false">IF((D159+E159)=0,0,E159/(D159+E159))</f>
        <v>0.558558558558559</v>
      </c>
      <c r="G159" s="4" t="n">
        <v>7.4</v>
      </c>
      <c r="H159" s="4" t="n">
        <v>333</v>
      </c>
      <c r="I159" s="4" t="n">
        <v>7</v>
      </c>
      <c r="J159" s="4" t="n">
        <v>356</v>
      </c>
      <c r="K159" s="4" t="n">
        <f aca="false">IF(G159&lt;=0,"n/a",ROUND(I159/G159,0))</f>
        <v>1</v>
      </c>
      <c r="L159" s="4" t="n">
        <v>326</v>
      </c>
      <c r="M159" s="4" t="n">
        <v>64.9</v>
      </c>
      <c r="N159" s="4" t="n">
        <v>261.1</v>
      </c>
      <c r="O159" s="4" t="n">
        <v>168</v>
      </c>
      <c r="P159" s="4" t="n">
        <v>84</v>
      </c>
      <c r="Q159" s="4" t="n">
        <f aca="false">O159+P159</f>
        <v>252</v>
      </c>
      <c r="R159" s="4" t="n">
        <v>0</v>
      </c>
      <c r="S159" s="4" t="n">
        <f aca="false">MAX(0,Q159-J159)</f>
        <v>0</v>
      </c>
      <c r="T159" s="4" t="n">
        <f aca="false">IF(G159&lt;=0,"n/a",ROUND((I159+O159)/G159,0))</f>
        <v>24</v>
      </c>
      <c r="U159" s="4" t="s">
        <v>479</v>
      </c>
      <c r="V159" s="4" t="s">
        <v>438</v>
      </c>
    </row>
    <row r="160" customFormat="false" ht="15" hidden="false" customHeight="false" outlineLevel="0" collapsed="false">
      <c r="A160" s="4" t="s">
        <v>720</v>
      </c>
      <c r="B160" s="4" t="s">
        <v>721</v>
      </c>
      <c r="C160" s="4" t="s">
        <v>722</v>
      </c>
      <c r="D160" s="4" t="n">
        <v>4</v>
      </c>
      <c r="E160" s="4" t="n">
        <v>0</v>
      </c>
      <c r="F160" s="6" t="n">
        <f aca="false">IF((D160+E160)=0,0,E160/(D160+E160))</f>
        <v>0</v>
      </c>
      <c r="G160" s="4" t="n">
        <v>0.27</v>
      </c>
      <c r="H160" s="4" t="n">
        <v>12</v>
      </c>
      <c r="I160" s="4" t="n">
        <v>21</v>
      </c>
      <c r="J160" s="4" t="n">
        <v>594</v>
      </c>
      <c r="K160" s="4" t="n">
        <f aca="false">IF(G160&lt;=0,"n/a",ROUND(I160/G160,0))</f>
        <v>78</v>
      </c>
      <c r="L160" s="4" t="n">
        <v>12</v>
      </c>
      <c r="M160" s="4" t="n">
        <v>10.1</v>
      </c>
      <c r="N160" s="4" t="n">
        <v>1.9</v>
      </c>
      <c r="O160" s="4" t="n">
        <v>0</v>
      </c>
      <c r="P160" s="4" t="n">
        <v>0</v>
      </c>
      <c r="Q160" s="4" t="n">
        <f aca="false">O160+P160</f>
        <v>0</v>
      </c>
      <c r="R160" s="4" t="n">
        <v>0</v>
      </c>
      <c r="S160" s="4" t="n">
        <f aca="false">MAX(0,Q160-J160)</f>
        <v>0</v>
      </c>
      <c r="T160" s="4" t="n">
        <f aca="false">IF(G160&lt;=0,"n/a",ROUND((I160+O160)/G160,0))</f>
        <v>78</v>
      </c>
      <c r="U160" s="4" t="s">
        <v>510</v>
      </c>
      <c r="V160" s="4" t="s">
        <v>442</v>
      </c>
    </row>
    <row r="161" customFormat="false" ht="15" hidden="false" customHeight="false" outlineLevel="0" collapsed="false">
      <c r="A161" s="4" t="s">
        <v>231</v>
      </c>
      <c r="B161" s="4" t="s">
        <v>232</v>
      </c>
      <c r="C161" s="4" t="s">
        <v>233</v>
      </c>
      <c r="D161" s="4" t="n">
        <v>11</v>
      </c>
      <c r="E161" s="4" t="n">
        <v>0</v>
      </c>
      <c r="F161" s="6" t="n">
        <f aca="false">IF((D161+E161)=0,0,E161/(D161+E161))</f>
        <v>0</v>
      </c>
      <c r="G161" s="4" t="n">
        <v>0.73</v>
      </c>
      <c r="H161" s="4" t="n">
        <v>33</v>
      </c>
      <c r="I161" s="4" t="n">
        <v>6</v>
      </c>
      <c r="J161" s="4" t="n">
        <v>588</v>
      </c>
      <c r="K161" s="4" t="n">
        <f aca="false">IF(G161&lt;=0,"n/a",ROUND(I161/G161,0))</f>
        <v>8</v>
      </c>
      <c r="L161" s="4" t="n">
        <v>27</v>
      </c>
      <c r="M161" s="4" t="n">
        <v>23.4</v>
      </c>
      <c r="N161" s="4" t="n">
        <v>3.6</v>
      </c>
      <c r="O161" s="4" t="n">
        <v>8</v>
      </c>
      <c r="P161" s="4" t="n">
        <v>0</v>
      </c>
      <c r="Q161" s="4" t="n">
        <f aca="false">O161+P161</f>
        <v>8</v>
      </c>
      <c r="R161" s="4" t="n">
        <v>0</v>
      </c>
      <c r="S161" s="4" t="n">
        <f aca="false">MAX(0,Q161-J161)</f>
        <v>0</v>
      </c>
      <c r="T161" s="4" t="n">
        <f aca="false">IF(G161&lt;=0,"n/a",ROUND((I161+O161)/G161,0))</f>
        <v>19</v>
      </c>
      <c r="U161" s="4" t="s">
        <v>510</v>
      </c>
      <c r="V161" s="4" t="s">
        <v>448</v>
      </c>
    </row>
    <row r="162" customFormat="false" ht="15" hidden="false" customHeight="false" outlineLevel="0" collapsed="false">
      <c r="A162" s="4" t="s">
        <v>234</v>
      </c>
      <c r="B162" s="4" t="s">
        <v>235</v>
      </c>
      <c r="C162" s="4" t="s">
        <v>236</v>
      </c>
      <c r="D162" s="4" t="n">
        <v>501</v>
      </c>
      <c r="E162" s="4" t="n">
        <v>93</v>
      </c>
      <c r="F162" s="6" t="n">
        <f aca="false">IF((D162+E162)=0,0,E162/(D162+E162))</f>
        <v>0.156565656565657</v>
      </c>
      <c r="G162" s="4" t="n">
        <v>39.6</v>
      </c>
      <c r="H162" s="4" t="n">
        <v>1782</v>
      </c>
      <c r="I162" s="4" t="n">
        <v>93</v>
      </c>
      <c r="J162" s="4" t="n">
        <v>1334</v>
      </c>
      <c r="K162" s="4" t="n">
        <f aca="false">IF(G162&lt;=0,"n/a",ROUND(I162/G162,0))</f>
        <v>2</v>
      </c>
      <c r="L162" s="4" t="n">
        <v>1689</v>
      </c>
      <c r="M162" s="4" t="n">
        <v>934.1</v>
      </c>
      <c r="N162" s="4" t="n">
        <v>754.9</v>
      </c>
      <c r="O162" s="4" t="n">
        <v>355</v>
      </c>
      <c r="P162" s="4" t="n">
        <v>399</v>
      </c>
      <c r="Q162" s="4" t="n">
        <f aca="false">O162+P162</f>
        <v>754</v>
      </c>
      <c r="R162" s="4" t="n">
        <v>0</v>
      </c>
      <c r="S162" s="4" t="n">
        <f aca="false">MAX(0,Q162-J162)</f>
        <v>0</v>
      </c>
      <c r="T162" s="4" t="n">
        <f aca="false">IF(G162&lt;=0,"n/a",ROUND((I162+O162)/G162,0))</f>
        <v>11</v>
      </c>
      <c r="U162" s="4" t="s">
        <v>479</v>
      </c>
      <c r="V162" s="4" t="s">
        <v>438</v>
      </c>
    </row>
    <row r="163" customFormat="false" ht="15" hidden="false" customHeight="false" outlineLevel="0" collapsed="false">
      <c r="A163" s="4" t="s">
        <v>237</v>
      </c>
      <c r="B163" s="4" t="s">
        <v>238</v>
      </c>
      <c r="C163" s="4" t="s">
        <v>239</v>
      </c>
      <c r="D163" s="4" t="n">
        <v>3</v>
      </c>
      <c r="E163" s="4" t="n">
        <v>2</v>
      </c>
      <c r="F163" s="6" t="n">
        <f aca="false">IF((D163+E163)=0,0,E163/(D163+E163))</f>
        <v>0.4</v>
      </c>
      <c r="G163" s="4" t="n">
        <v>0.33</v>
      </c>
      <c r="H163" s="4" t="n">
        <v>15</v>
      </c>
      <c r="I163" s="4" t="n">
        <v>20</v>
      </c>
      <c r="J163" s="4" t="n">
        <v>550</v>
      </c>
      <c r="K163" s="4" t="n">
        <f aca="false">IF(G163&lt;=0,"n/a",ROUND(I163/G163,0))</f>
        <v>61</v>
      </c>
      <c r="L163" s="4" t="n">
        <v>10</v>
      </c>
      <c r="M163" s="4" t="n">
        <v>6.4</v>
      </c>
      <c r="N163" s="4" t="n">
        <v>3.6</v>
      </c>
      <c r="O163" s="4" t="n">
        <v>4</v>
      </c>
      <c r="P163" s="4" t="n">
        <v>0</v>
      </c>
      <c r="Q163" s="4" t="n">
        <f aca="false">O163+P163</f>
        <v>4</v>
      </c>
      <c r="R163" s="4" t="n">
        <v>0</v>
      </c>
      <c r="S163" s="4" t="n">
        <f aca="false">MAX(0,Q163-J163)</f>
        <v>0</v>
      </c>
      <c r="T163" s="4" t="n">
        <f aca="false">IF(G163&lt;=0,"n/a",ROUND((I163+O163)/G163,0))</f>
        <v>73</v>
      </c>
      <c r="U163" s="4" t="s">
        <v>447</v>
      </c>
      <c r="V163" s="4" t="s">
        <v>448</v>
      </c>
    </row>
    <row r="164" customFormat="false" ht="15" hidden="false" customHeight="false" outlineLevel="0" collapsed="false">
      <c r="A164" s="4" t="s">
        <v>240</v>
      </c>
      <c r="B164" s="4" t="s">
        <v>241</v>
      </c>
      <c r="C164" s="4" t="s">
        <v>242</v>
      </c>
      <c r="D164" s="4" t="n">
        <v>8</v>
      </c>
      <c r="E164" s="4" t="n">
        <v>17</v>
      </c>
      <c r="F164" s="6" t="n">
        <f aca="false">IF((D164+E164)=0,0,E164/(D164+E164))</f>
        <v>0.68</v>
      </c>
      <c r="G164" s="4" t="n">
        <v>1.67</v>
      </c>
      <c r="H164" s="4" t="n">
        <v>75</v>
      </c>
      <c r="I164" s="4" t="n">
        <v>7</v>
      </c>
      <c r="J164" s="4" t="n">
        <v>420</v>
      </c>
      <c r="K164" s="4" t="n">
        <f aca="false">IF(G164&lt;=0,"n/a",ROUND(I164/G164,0))</f>
        <v>4</v>
      </c>
      <c r="L164" s="4" t="n">
        <v>70</v>
      </c>
      <c r="M164" s="4" t="n">
        <v>42.9</v>
      </c>
      <c r="N164" s="4" t="n">
        <v>27.1</v>
      </c>
      <c r="O164" s="4" t="n">
        <v>5</v>
      </c>
      <c r="P164" s="4" t="n">
        <v>0</v>
      </c>
      <c r="Q164" s="4" t="n">
        <f aca="false">O164+P164</f>
        <v>5</v>
      </c>
      <c r="R164" s="4" t="n">
        <v>0</v>
      </c>
      <c r="S164" s="4" t="n">
        <f aca="false">MAX(0,Q164-J164)</f>
        <v>0</v>
      </c>
      <c r="T164" s="4" t="n">
        <f aca="false">IF(G164&lt;=0,"n/a",ROUND((I164+O164)/G164,0))</f>
        <v>7</v>
      </c>
      <c r="U164" s="4" t="s">
        <v>479</v>
      </c>
      <c r="V164" s="4" t="s">
        <v>448</v>
      </c>
    </row>
    <row r="165" customFormat="false" ht="15" hidden="false" customHeight="false" outlineLevel="0" collapsed="false">
      <c r="A165" s="4" t="s">
        <v>243</v>
      </c>
      <c r="B165" s="4" t="s">
        <v>244</v>
      </c>
      <c r="C165" s="4" t="s">
        <v>245</v>
      </c>
      <c r="D165" s="4" t="n">
        <v>17</v>
      </c>
      <c r="E165" s="4" t="n">
        <v>0</v>
      </c>
      <c r="F165" s="6" t="n">
        <f aca="false">IF((D165+E165)=0,0,E165/(D165+E165))</f>
        <v>0</v>
      </c>
      <c r="G165" s="4" t="n">
        <v>1.13</v>
      </c>
      <c r="H165" s="4" t="n">
        <v>51</v>
      </c>
      <c r="I165" s="4" t="n">
        <v>42</v>
      </c>
      <c r="J165" s="4" t="n">
        <v>73</v>
      </c>
      <c r="K165" s="4" t="n">
        <f aca="false">IF(G165&lt;=0,"n/a",ROUND(I165/G165,0))</f>
        <v>37</v>
      </c>
      <c r="L165" s="4" t="n">
        <v>37</v>
      </c>
      <c r="M165" s="4" t="n">
        <v>14.5</v>
      </c>
      <c r="N165" s="4" t="n">
        <v>22.5</v>
      </c>
      <c r="O165" s="4" t="n">
        <v>13</v>
      </c>
      <c r="P165" s="4" t="n">
        <v>7</v>
      </c>
      <c r="Q165" s="4" t="n">
        <f aca="false">O165+P165</f>
        <v>20</v>
      </c>
      <c r="R165" s="4" t="n">
        <v>0</v>
      </c>
      <c r="S165" s="4" t="n">
        <f aca="false">MAX(0,Q165-J165)</f>
        <v>0</v>
      </c>
      <c r="T165" s="4" t="n">
        <f aca="false">IF(G165&lt;=0,"n/a",ROUND((I165+O165)/G165,0))</f>
        <v>49</v>
      </c>
      <c r="U165" s="4" t="s">
        <v>510</v>
      </c>
      <c r="V165" s="4" t="s">
        <v>438</v>
      </c>
    </row>
    <row r="166" customFormat="false" ht="15" hidden="false" customHeight="false" outlineLevel="0" collapsed="false">
      <c r="A166" s="4" t="s">
        <v>246</v>
      </c>
      <c r="B166" s="4" t="s">
        <v>247</v>
      </c>
      <c r="C166" s="4" t="s">
        <v>248</v>
      </c>
      <c r="D166" s="4" t="n">
        <v>127</v>
      </c>
      <c r="E166" s="4" t="n">
        <v>16</v>
      </c>
      <c r="F166" s="6" t="n">
        <f aca="false">IF((D166+E166)=0,0,E166/(D166+E166))</f>
        <v>0.111888111888112</v>
      </c>
      <c r="G166" s="4" t="n">
        <v>9.53</v>
      </c>
      <c r="H166" s="4" t="n">
        <v>429</v>
      </c>
      <c r="I166" s="4" t="n">
        <v>220</v>
      </c>
      <c r="J166" s="4" t="n">
        <v>598</v>
      </c>
      <c r="K166" s="4" t="n">
        <f aca="false">IF(G166&lt;=0,"n/a",ROUND(I166/G166,0))</f>
        <v>23</v>
      </c>
      <c r="L166" s="4" t="n">
        <v>245.1</v>
      </c>
      <c r="M166" s="4" t="n">
        <v>202.7</v>
      </c>
      <c r="N166" s="4" t="n">
        <v>42.4</v>
      </c>
      <c r="O166" s="4" t="n">
        <v>29</v>
      </c>
      <c r="P166" s="4" t="n">
        <v>12</v>
      </c>
      <c r="Q166" s="4" t="n">
        <f aca="false">O166+P166</f>
        <v>41</v>
      </c>
      <c r="R166" s="4" t="n">
        <v>0</v>
      </c>
      <c r="S166" s="4" t="n">
        <f aca="false">MAX(0,Q166-J166)</f>
        <v>0</v>
      </c>
      <c r="T166" s="4" t="n">
        <f aca="false">IF(G166&lt;=0,"n/a",ROUND((I166+O166)/G166,0))</f>
        <v>26</v>
      </c>
      <c r="U166" s="4" t="s">
        <v>479</v>
      </c>
      <c r="V166" s="4" t="s">
        <v>438</v>
      </c>
    </row>
    <row r="167" customFormat="false" ht="15" hidden="false" customHeight="false" outlineLevel="0" collapsed="false">
      <c r="A167" s="4" t="s">
        <v>723</v>
      </c>
      <c r="B167" s="4" t="s">
        <v>724</v>
      </c>
      <c r="C167" s="4" t="s">
        <v>725</v>
      </c>
      <c r="D167" s="4" t="n">
        <v>0</v>
      </c>
      <c r="E167" s="4" t="n">
        <v>14</v>
      </c>
      <c r="F167" s="6" t="n">
        <f aca="false">IF((D167+E167)=0,0,E167/(D167+E167))</f>
        <v>1</v>
      </c>
      <c r="G167" s="4" t="n">
        <v>0.93</v>
      </c>
      <c r="H167" s="4" t="n">
        <v>42</v>
      </c>
      <c r="I167" s="4" t="n">
        <v>1</v>
      </c>
      <c r="J167" s="4" t="n">
        <v>481</v>
      </c>
      <c r="K167" s="4" t="n">
        <f aca="false">IF(G167&lt;=0,"n/a",ROUND(I167/G167,0))</f>
        <v>1</v>
      </c>
      <c r="L167" s="4" t="n">
        <v>42</v>
      </c>
      <c r="M167" s="4" t="n">
        <v>42</v>
      </c>
      <c r="N167" s="4" t="n">
        <v>0</v>
      </c>
      <c r="O167" s="4" t="n">
        <v>0</v>
      </c>
      <c r="P167" s="4" t="n">
        <v>0</v>
      </c>
      <c r="Q167" s="4" t="n">
        <f aca="false">O167+P167</f>
        <v>0</v>
      </c>
      <c r="R167" s="4" t="n">
        <v>0</v>
      </c>
      <c r="S167" s="4" t="n">
        <f aca="false">MAX(0,Q167-J167)</f>
        <v>0</v>
      </c>
      <c r="T167" s="4" t="n">
        <f aca="false">IF(G167&lt;=0,"n/a",ROUND((I167+O167)/G167,0))</f>
        <v>1</v>
      </c>
      <c r="U167" s="4" t="s">
        <v>437</v>
      </c>
      <c r="V167" s="4" t="s">
        <v>446</v>
      </c>
    </row>
    <row r="168" customFormat="false" ht="15" hidden="false" customHeight="false" outlineLevel="0" collapsed="false">
      <c r="A168" s="4" t="s">
        <v>249</v>
      </c>
      <c r="B168" s="4" t="s">
        <v>250</v>
      </c>
      <c r="C168" s="4" t="s">
        <v>251</v>
      </c>
      <c r="D168" s="4" t="n">
        <v>59</v>
      </c>
      <c r="E168" s="4" t="n">
        <v>51</v>
      </c>
      <c r="F168" s="6" t="n">
        <f aca="false">IF((D168+E168)=0,0,E168/(D168+E168))</f>
        <v>0.463636363636364</v>
      </c>
      <c r="G168" s="4" t="n">
        <v>7.33</v>
      </c>
      <c r="H168" s="4" t="n">
        <v>330</v>
      </c>
      <c r="I168" s="4" t="n">
        <v>128</v>
      </c>
      <c r="J168" s="4" t="n">
        <v>520</v>
      </c>
      <c r="K168" s="4" t="n">
        <f aca="false">IF(G168&lt;=0,"n/a",ROUND(I168/G168,0))</f>
        <v>17</v>
      </c>
      <c r="L168" s="4" t="n">
        <v>268</v>
      </c>
      <c r="M168" s="4" t="n">
        <v>129.2</v>
      </c>
      <c r="N168" s="4" t="n">
        <v>138.8</v>
      </c>
      <c r="O168" s="4" t="n">
        <v>58</v>
      </c>
      <c r="P168" s="4" t="n">
        <v>76</v>
      </c>
      <c r="Q168" s="4" t="n">
        <f aca="false">O168+P168</f>
        <v>134</v>
      </c>
      <c r="R168" s="4" t="n">
        <v>0</v>
      </c>
      <c r="S168" s="4" t="n">
        <f aca="false">MAX(0,Q168-J168)</f>
        <v>0</v>
      </c>
      <c r="T168" s="4" t="n">
        <f aca="false">IF(G168&lt;=0,"n/a",ROUND((I168+O168)/G168,0))</f>
        <v>25</v>
      </c>
      <c r="U168" s="4" t="s">
        <v>479</v>
      </c>
      <c r="V168" s="4" t="s">
        <v>438</v>
      </c>
    </row>
    <row r="169" customFormat="false" ht="15" hidden="false" customHeight="false" outlineLevel="0" collapsed="false">
      <c r="A169" s="4" t="s">
        <v>726</v>
      </c>
      <c r="B169" s="4" t="s">
        <v>727</v>
      </c>
      <c r="C169" s="4" t="s">
        <v>728</v>
      </c>
      <c r="D169" s="4" t="n">
        <v>3</v>
      </c>
      <c r="E169" s="4" t="n">
        <v>0</v>
      </c>
      <c r="F169" s="6" t="n">
        <f aca="false">IF((D169+E169)=0,0,E169/(D169+E169))</f>
        <v>0</v>
      </c>
      <c r="G169" s="4" t="n">
        <v>0.2</v>
      </c>
      <c r="H169" s="4" t="n">
        <v>9</v>
      </c>
      <c r="I169" s="4" t="n">
        <v>43</v>
      </c>
      <c r="J169" s="4" t="n">
        <v>557</v>
      </c>
      <c r="K169" s="4" t="n">
        <f aca="false">IF(G169&lt;=0,"n/a",ROUND(I169/G169,0))</f>
        <v>215</v>
      </c>
      <c r="L169" s="4" t="n">
        <v>2</v>
      </c>
      <c r="M169" s="4" t="n">
        <v>0.9</v>
      </c>
      <c r="N169" s="4" t="n">
        <v>1.1</v>
      </c>
      <c r="O169" s="4" t="n">
        <v>0</v>
      </c>
      <c r="P169" s="4" t="n">
        <v>0</v>
      </c>
      <c r="Q169" s="4" t="n">
        <f aca="false">O169+P169</f>
        <v>0</v>
      </c>
      <c r="R169" s="4" t="n">
        <v>0</v>
      </c>
      <c r="S169" s="4" t="n">
        <f aca="false">MAX(0,Q169-J169)</f>
        <v>0</v>
      </c>
      <c r="T169" s="4" t="n">
        <f aca="false">IF(G169&lt;=0,"n/a",ROUND((I169+O169)/G169,0))</f>
        <v>215</v>
      </c>
      <c r="U169" s="4" t="s">
        <v>510</v>
      </c>
      <c r="V169" s="4" t="s">
        <v>442</v>
      </c>
    </row>
    <row r="170" customFormat="false" ht="15" hidden="false" customHeight="false" outlineLevel="0" collapsed="false">
      <c r="A170" s="4" t="s">
        <v>252</v>
      </c>
      <c r="B170" s="4" t="s">
        <v>253</v>
      </c>
      <c r="C170" s="4" t="s">
        <v>254</v>
      </c>
      <c r="D170" s="4" t="n">
        <v>39</v>
      </c>
      <c r="E170" s="4" t="n">
        <v>30</v>
      </c>
      <c r="F170" s="6" t="n">
        <f aca="false">IF((D170+E170)=0,0,E170/(D170+E170))</f>
        <v>0.434782608695652</v>
      </c>
      <c r="G170" s="4" t="n">
        <v>4.6</v>
      </c>
      <c r="H170" s="4" t="n">
        <v>207</v>
      </c>
      <c r="I170" s="4" t="n">
        <v>107</v>
      </c>
      <c r="J170" s="4" t="n">
        <v>442</v>
      </c>
      <c r="K170" s="4" t="n">
        <f aca="false">IF(G170&lt;=0,"n/a",ROUND(I170/G170,0))</f>
        <v>23</v>
      </c>
      <c r="L170" s="4" t="n">
        <v>143.1</v>
      </c>
      <c r="M170" s="4" t="n">
        <v>52</v>
      </c>
      <c r="N170" s="4" t="n">
        <v>91.1</v>
      </c>
      <c r="O170" s="4" t="n">
        <v>54</v>
      </c>
      <c r="P170" s="4" t="n">
        <v>26</v>
      </c>
      <c r="Q170" s="4" t="n">
        <f aca="false">O170+P170</f>
        <v>80</v>
      </c>
      <c r="R170" s="4" t="n">
        <v>0</v>
      </c>
      <c r="S170" s="4" t="n">
        <f aca="false">MAX(0,Q170-J170)</f>
        <v>0</v>
      </c>
      <c r="T170" s="4" t="n">
        <f aca="false">IF(G170&lt;=0,"n/a",ROUND((I170+O170)/G170,0))</f>
        <v>35</v>
      </c>
      <c r="U170" s="4" t="s">
        <v>479</v>
      </c>
      <c r="V170" s="4" t="s">
        <v>438</v>
      </c>
    </row>
    <row r="171" customFormat="false" ht="15" hidden="false" customHeight="false" outlineLevel="0" collapsed="false">
      <c r="A171" s="4" t="s">
        <v>255</v>
      </c>
      <c r="B171" s="4" t="s">
        <v>256</v>
      </c>
      <c r="C171" s="4" t="s">
        <v>257</v>
      </c>
      <c r="D171" s="4" t="n">
        <v>3</v>
      </c>
      <c r="E171" s="4" t="n">
        <v>2</v>
      </c>
      <c r="F171" s="6" t="n">
        <f aca="false">IF((D171+E171)=0,0,E171/(D171+E171))</f>
        <v>0.4</v>
      </c>
      <c r="G171" s="4" t="n">
        <v>0.33</v>
      </c>
      <c r="H171" s="4" t="n">
        <v>15</v>
      </c>
      <c r="I171" s="4" t="n">
        <v>15</v>
      </c>
      <c r="J171" s="4" t="n">
        <v>94</v>
      </c>
      <c r="K171" s="4" t="n">
        <f aca="false">IF(G171&lt;=0,"n/a",ROUND(I171/G171,0))</f>
        <v>45</v>
      </c>
      <c r="L171" s="4" t="n">
        <v>11</v>
      </c>
      <c r="M171" s="4" t="n">
        <v>0</v>
      </c>
      <c r="N171" s="4" t="n">
        <v>11</v>
      </c>
      <c r="O171" s="4" t="n">
        <v>11</v>
      </c>
      <c r="P171" s="4" t="n">
        <v>0</v>
      </c>
      <c r="Q171" s="4" t="n">
        <f aca="false">O171+P171</f>
        <v>11</v>
      </c>
      <c r="R171" s="4" t="n">
        <v>0</v>
      </c>
      <c r="S171" s="4" t="n">
        <f aca="false">MAX(0,Q171-J171)</f>
        <v>0</v>
      </c>
      <c r="T171" s="4" t="n">
        <f aca="false">IF(G171&lt;=0,"n/a",ROUND((I171+O171)/G171,0))</f>
        <v>79</v>
      </c>
      <c r="U171" s="4" t="s">
        <v>447</v>
      </c>
      <c r="V171" s="4" t="s">
        <v>448</v>
      </c>
    </row>
    <row r="172" customFormat="false" ht="15" hidden="false" customHeight="false" outlineLevel="0" collapsed="false">
      <c r="A172" s="4" t="s">
        <v>729</v>
      </c>
      <c r="B172" s="4" t="s">
        <v>730</v>
      </c>
      <c r="C172" s="4" t="s">
        <v>731</v>
      </c>
      <c r="D172" s="4" t="n">
        <v>2</v>
      </c>
      <c r="E172" s="4" t="n">
        <v>5</v>
      </c>
      <c r="F172" s="6" t="n">
        <f aca="false">IF((D172+E172)=0,0,E172/(D172+E172))</f>
        <v>0.714285714285714</v>
      </c>
      <c r="G172" s="4" t="n">
        <v>0.47</v>
      </c>
      <c r="H172" s="4" t="n">
        <v>21</v>
      </c>
      <c r="I172" s="4" t="n">
        <v>17</v>
      </c>
      <c r="J172" s="4" t="n">
        <v>463</v>
      </c>
      <c r="K172" s="4" t="n">
        <f aca="false">IF(G172&lt;=0,"n/a",ROUND(I172/G172,0))</f>
        <v>36</v>
      </c>
      <c r="L172" s="4" t="n">
        <v>15</v>
      </c>
      <c r="M172" s="4" t="n">
        <v>21.5</v>
      </c>
      <c r="N172" s="4" t="n">
        <v>0</v>
      </c>
      <c r="O172" s="4" t="n">
        <v>0</v>
      </c>
      <c r="P172" s="4" t="n">
        <v>0</v>
      </c>
      <c r="Q172" s="4" t="n">
        <f aca="false">O172+P172</f>
        <v>0</v>
      </c>
      <c r="R172" s="4" t="n">
        <v>0</v>
      </c>
      <c r="S172" s="4" t="n">
        <f aca="false">MAX(0,Q172-J172)</f>
        <v>0</v>
      </c>
      <c r="T172" s="4" t="n">
        <f aca="false">IF(G172&lt;=0,"n/a",ROUND((I172+O172)/G172,0))</f>
        <v>36</v>
      </c>
      <c r="U172" s="4" t="s">
        <v>437</v>
      </c>
      <c r="V172" s="4" t="s">
        <v>446</v>
      </c>
    </row>
    <row r="173" customFormat="false" ht="15" hidden="false" customHeight="false" outlineLevel="0" collapsed="false">
      <c r="A173" s="4" t="s">
        <v>732</v>
      </c>
      <c r="B173" s="4" t="s">
        <v>733</v>
      </c>
      <c r="C173" s="4" t="s">
        <v>734</v>
      </c>
      <c r="D173" s="4" t="n">
        <v>0</v>
      </c>
      <c r="E173" s="4" t="n">
        <v>1</v>
      </c>
      <c r="F173" s="6" t="n">
        <f aca="false">IF((D173+E173)=0,0,E173/(D173+E173))</f>
        <v>1</v>
      </c>
      <c r="G173" s="4" t="n">
        <v>0.07</v>
      </c>
      <c r="H173" s="4" t="n">
        <v>3</v>
      </c>
      <c r="I173" s="4" t="n">
        <v>24</v>
      </c>
      <c r="J173" s="4" t="n">
        <v>393</v>
      </c>
      <c r="K173" s="4" t="n">
        <f aca="false">IF(G173&lt;=0,"n/a",ROUND(I173/G173,0))</f>
        <v>343</v>
      </c>
      <c r="L173" s="4" t="n">
        <v>2</v>
      </c>
      <c r="M173" s="4" t="n">
        <v>6.4</v>
      </c>
      <c r="N173" s="4" t="n">
        <v>0</v>
      </c>
      <c r="O173" s="4" t="n">
        <v>0</v>
      </c>
      <c r="P173" s="4" t="n">
        <v>0</v>
      </c>
      <c r="Q173" s="4" t="n">
        <f aca="false">O173+P173</f>
        <v>0</v>
      </c>
      <c r="R173" s="4" t="n">
        <v>0</v>
      </c>
      <c r="S173" s="4" t="n">
        <f aca="false">MAX(0,Q173-J173)</f>
        <v>0</v>
      </c>
      <c r="T173" s="4" t="n">
        <f aca="false">IF(G173&lt;=0,"n/a",ROUND((I173+O173)/G173,0))</f>
        <v>343</v>
      </c>
      <c r="U173" s="4" t="s">
        <v>437</v>
      </c>
      <c r="V173" s="4" t="s">
        <v>446</v>
      </c>
    </row>
    <row r="174" customFormat="false" ht="15" hidden="false" customHeight="false" outlineLevel="0" collapsed="false">
      <c r="A174" s="4" t="s">
        <v>258</v>
      </c>
      <c r="B174" s="4" t="s">
        <v>259</v>
      </c>
      <c r="C174" s="4" t="s">
        <v>260</v>
      </c>
      <c r="D174" s="4" t="n">
        <v>1</v>
      </c>
      <c r="E174" s="4" t="n">
        <v>1</v>
      </c>
      <c r="F174" s="6" t="n">
        <f aca="false">IF((D174+E174)=0,0,E174/(D174+E174))</f>
        <v>0.5</v>
      </c>
      <c r="G174" s="4" t="n">
        <v>0.13</v>
      </c>
      <c r="H174" s="4" t="n">
        <v>6</v>
      </c>
      <c r="I174" s="4" t="n">
        <v>19</v>
      </c>
      <c r="J174" s="4" t="n">
        <v>50</v>
      </c>
      <c r="K174" s="4" t="n">
        <f aca="false">IF(G174&lt;=0,"n/a",ROUND(I174/G174,0))</f>
        <v>146</v>
      </c>
      <c r="L174" s="4" t="n">
        <v>5</v>
      </c>
      <c r="M174" s="4" t="n">
        <v>0</v>
      </c>
      <c r="N174" s="4" t="n">
        <v>5</v>
      </c>
      <c r="O174" s="4" t="n">
        <v>5</v>
      </c>
      <c r="P174" s="4" t="n">
        <v>0</v>
      </c>
      <c r="Q174" s="4" t="n">
        <f aca="false">O174+P174</f>
        <v>5</v>
      </c>
      <c r="R174" s="4" t="n">
        <v>0</v>
      </c>
      <c r="S174" s="4" t="n">
        <f aca="false">MAX(0,Q174-J174)</f>
        <v>0</v>
      </c>
      <c r="T174" s="4" t="n">
        <f aca="false">IF(G174&lt;=0,"n/a",ROUND((I174+O174)/G174,0))</f>
        <v>185</v>
      </c>
      <c r="U174" s="4" t="s">
        <v>437</v>
      </c>
      <c r="V174" s="4" t="s">
        <v>448</v>
      </c>
    </row>
    <row r="175" customFormat="false" ht="15" hidden="false" customHeight="false" outlineLevel="0" collapsed="false">
      <c r="A175" s="4" t="s">
        <v>735</v>
      </c>
      <c r="B175" s="4" t="s">
        <v>736</v>
      </c>
      <c r="C175" s="4" t="s">
        <v>737</v>
      </c>
      <c r="D175" s="4" t="n">
        <v>41</v>
      </c>
      <c r="E175" s="4" t="n">
        <v>17</v>
      </c>
      <c r="F175" s="6" t="n">
        <f aca="false">IF((D175+E175)=0,0,E175/(D175+E175))</f>
        <v>0.293103448275862</v>
      </c>
      <c r="G175" s="4" t="n">
        <v>3.87</v>
      </c>
      <c r="H175" s="4" t="n">
        <v>174</v>
      </c>
      <c r="I175" s="4" t="n">
        <v>17</v>
      </c>
      <c r="J175" s="4" t="n">
        <v>401</v>
      </c>
      <c r="K175" s="4" t="n">
        <f aca="false">IF(G175&lt;=0,"n/a",ROUND(I175/G175,0))</f>
        <v>4</v>
      </c>
      <c r="L175" s="4" t="n">
        <v>162.1</v>
      </c>
      <c r="M175" s="4" t="n">
        <v>163.4</v>
      </c>
      <c r="N175" s="4" t="n">
        <v>0</v>
      </c>
      <c r="O175" s="4" t="n">
        <v>0</v>
      </c>
      <c r="P175" s="4" t="n">
        <v>0</v>
      </c>
      <c r="Q175" s="4" t="n">
        <f aca="false">O175+P175</f>
        <v>0</v>
      </c>
      <c r="R175" s="4" t="n">
        <v>0</v>
      </c>
      <c r="S175" s="4" t="n">
        <f aca="false">MAX(0,Q175-J175)</f>
        <v>0</v>
      </c>
      <c r="T175" s="4" t="n">
        <f aca="false">IF(G175&lt;=0,"n/a",ROUND((I175+O175)/G175,0))</f>
        <v>4</v>
      </c>
      <c r="U175" s="4" t="s">
        <v>479</v>
      </c>
      <c r="V175" s="4" t="s">
        <v>446</v>
      </c>
    </row>
    <row r="176" customFormat="false" ht="15" hidden="false" customHeight="false" outlineLevel="0" collapsed="false">
      <c r="A176" s="4" t="s">
        <v>261</v>
      </c>
      <c r="B176" s="4" t="s">
        <v>262</v>
      </c>
      <c r="C176" s="4" t="s">
        <v>263</v>
      </c>
      <c r="D176" s="4" t="n">
        <v>0</v>
      </c>
      <c r="E176" s="4" t="n">
        <v>33</v>
      </c>
      <c r="F176" s="6" t="n">
        <f aca="false">IF((D176+E176)=0,0,E176/(D176+E176))</f>
        <v>1</v>
      </c>
      <c r="G176" s="4" t="n">
        <v>2.2</v>
      </c>
      <c r="H176" s="4" t="n">
        <v>99</v>
      </c>
      <c r="I176" s="4" t="n">
        <v>14</v>
      </c>
      <c r="J176" s="4" t="n">
        <v>486</v>
      </c>
      <c r="K176" s="4" t="n">
        <f aca="false">IF(G176&lt;=0,"n/a",ROUND(I176/G176,0))</f>
        <v>6</v>
      </c>
      <c r="L176" s="4" t="n">
        <v>85</v>
      </c>
      <c r="M176" s="4" t="n">
        <v>56.8</v>
      </c>
      <c r="N176" s="4" t="n">
        <v>28.2</v>
      </c>
      <c r="O176" s="4" t="n">
        <v>10</v>
      </c>
      <c r="P176" s="4" t="n">
        <v>0</v>
      </c>
      <c r="Q176" s="4" t="n">
        <f aca="false">O176+P176</f>
        <v>10</v>
      </c>
      <c r="R176" s="4" t="n">
        <v>0</v>
      </c>
      <c r="S176" s="4" t="n">
        <f aca="false">MAX(0,Q176-J176)</f>
        <v>0</v>
      </c>
      <c r="T176" s="4" t="n">
        <f aca="false">IF(G176&lt;=0,"n/a",ROUND((I176+O176)/G176,0))</f>
        <v>11</v>
      </c>
      <c r="U176" s="4" t="s">
        <v>437</v>
      </c>
      <c r="V176" s="4" t="s">
        <v>448</v>
      </c>
    </row>
    <row r="177" customFormat="false" ht="15" hidden="false" customHeight="false" outlineLevel="0" collapsed="false">
      <c r="A177" s="4" t="s">
        <v>264</v>
      </c>
      <c r="B177" s="4" t="s">
        <v>265</v>
      </c>
      <c r="C177" s="4" t="s">
        <v>266</v>
      </c>
      <c r="D177" s="4" t="n">
        <v>7</v>
      </c>
      <c r="E177" s="4" t="n">
        <v>41</v>
      </c>
      <c r="F177" s="6" t="n">
        <f aca="false">IF((D177+E177)=0,0,E177/(D177+E177))</f>
        <v>0.854166666666667</v>
      </c>
      <c r="G177" s="4" t="n">
        <v>3.2</v>
      </c>
      <c r="H177" s="4" t="n">
        <v>144</v>
      </c>
      <c r="I177" s="4" t="n">
        <v>29</v>
      </c>
      <c r="J177" s="4" t="n">
        <v>333</v>
      </c>
      <c r="K177" s="4" t="n">
        <f aca="false">IF(G177&lt;=0,"n/a",ROUND(I177/G177,0))</f>
        <v>9</v>
      </c>
      <c r="L177" s="4" t="n">
        <v>116.9</v>
      </c>
      <c r="M177" s="4" t="n">
        <v>98.3</v>
      </c>
      <c r="N177" s="4" t="n">
        <v>18.6</v>
      </c>
      <c r="O177" s="4" t="n">
        <v>18</v>
      </c>
      <c r="P177" s="4" t="n">
        <v>2</v>
      </c>
      <c r="Q177" s="4" t="n">
        <f aca="false">O177+P177</f>
        <v>20</v>
      </c>
      <c r="R177" s="4" t="n">
        <v>0</v>
      </c>
      <c r="S177" s="4" t="n">
        <f aca="false">MAX(0,Q177-J177)</f>
        <v>0</v>
      </c>
      <c r="T177" s="4" t="n">
        <f aca="false">IF(G177&lt;=0,"n/a",ROUND((I177+O177)/G177,0))</f>
        <v>15</v>
      </c>
      <c r="U177" s="4" t="s">
        <v>479</v>
      </c>
      <c r="V177" s="4" t="s">
        <v>438</v>
      </c>
    </row>
    <row r="178" customFormat="false" ht="15" hidden="false" customHeight="false" outlineLevel="0" collapsed="false">
      <c r="A178" s="4" t="s">
        <v>738</v>
      </c>
      <c r="B178" s="4" t="s">
        <v>739</v>
      </c>
      <c r="C178" s="4" t="s">
        <v>740</v>
      </c>
      <c r="D178" s="4" t="n">
        <v>2</v>
      </c>
      <c r="E178" s="4" t="n">
        <v>4</v>
      </c>
      <c r="F178" s="6" t="n">
        <f aca="false">IF((D178+E178)=0,0,E178/(D178+E178))</f>
        <v>0.666666666666667</v>
      </c>
      <c r="G178" s="4" t="n">
        <v>0.4</v>
      </c>
      <c r="H178" s="4" t="n">
        <v>18</v>
      </c>
      <c r="I178" s="4" t="n">
        <v>41</v>
      </c>
      <c r="J178" s="4" t="n">
        <v>492</v>
      </c>
      <c r="K178" s="4" t="n">
        <f aca="false">IF(G178&lt;=0,"n/a",ROUND(I178/G178,0))</f>
        <v>103</v>
      </c>
      <c r="L178" s="4" t="n">
        <v>16</v>
      </c>
      <c r="M178" s="4" t="n">
        <v>32.2</v>
      </c>
      <c r="N178" s="4" t="n">
        <v>0</v>
      </c>
      <c r="O178" s="4" t="n">
        <v>0</v>
      </c>
      <c r="P178" s="4" t="n">
        <v>0</v>
      </c>
      <c r="Q178" s="4" t="n">
        <f aca="false">O178+P178</f>
        <v>0</v>
      </c>
      <c r="R178" s="4" t="n">
        <v>0</v>
      </c>
      <c r="S178" s="4" t="n">
        <f aca="false">MAX(0,Q178-J178)</f>
        <v>0</v>
      </c>
      <c r="T178" s="4" t="n">
        <f aca="false">IF(G178&lt;=0,"n/a",ROUND((I178+O178)/G178,0))</f>
        <v>103</v>
      </c>
      <c r="U178" s="4" t="s">
        <v>437</v>
      </c>
      <c r="V178" s="4" t="s">
        <v>446</v>
      </c>
    </row>
    <row r="179" customFormat="false" ht="15" hidden="false" customHeight="false" outlineLevel="0" collapsed="false">
      <c r="A179" s="4" t="s">
        <v>741</v>
      </c>
      <c r="B179" s="4" t="s">
        <v>742</v>
      </c>
      <c r="C179" s="4" t="s">
        <v>743</v>
      </c>
      <c r="D179" s="4" t="n">
        <v>16</v>
      </c>
      <c r="E179" s="4" t="n">
        <v>53</v>
      </c>
      <c r="F179" s="6" t="n">
        <f aca="false">IF((D179+E179)=0,0,E179/(D179+E179))</f>
        <v>0.768115942028986</v>
      </c>
      <c r="G179" s="4" t="n">
        <v>4.6</v>
      </c>
      <c r="H179" s="4" t="n">
        <v>207</v>
      </c>
      <c r="I179" s="4" t="n">
        <v>24</v>
      </c>
      <c r="J179" s="4" t="n">
        <v>258</v>
      </c>
      <c r="K179" s="4" t="n">
        <f aca="false">IF(G179&lt;=0,"n/a",ROUND(I179/G179,0))</f>
        <v>5</v>
      </c>
      <c r="L179" s="4" t="n">
        <v>183</v>
      </c>
      <c r="M179" s="4" t="n">
        <v>213.1</v>
      </c>
      <c r="N179" s="4" t="n">
        <v>0</v>
      </c>
      <c r="O179" s="4" t="n">
        <v>0</v>
      </c>
      <c r="P179" s="4" t="n">
        <v>0</v>
      </c>
      <c r="Q179" s="4" t="n">
        <f aca="false">O179+P179</f>
        <v>0</v>
      </c>
      <c r="R179" s="4" t="n">
        <v>0</v>
      </c>
      <c r="S179" s="4" t="n">
        <f aca="false">MAX(0,Q179-J179)</f>
        <v>0</v>
      </c>
      <c r="T179" s="4" t="n">
        <f aca="false">IF(G179&lt;=0,"n/a",ROUND((I179+O179)/G179,0))</f>
        <v>5</v>
      </c>
      <c r="U179" s="4" t="s">
        <v>479</v>
      </c>
      <c r="V179" s="4" t="s">
        <v>446</v>
      </c>
    </row>
    <row r="180" customFormat="false" ht="15" hidden="false" customHeight="false" outlineLevel="0" collapsed="false">
      <c r="A180" s="4" t="s">
        <v>744</v>
      </c>
      <c r="B180" s="4" t="s">
        <v>745</v>
      </c>
      <c r="C180" s="4" t="s">
        <v>746</v>
      </c>
      <c r="D180" s="4" t="n">
        <v>0</v>
      </c>
      <c r="E180" s="4" t="n">
        <v>11</v>
      </c>
      <c r="F180" s="6" t="n">
        <f aca="false">IF((D180+E180)=0,0,E180/(D180+E180))</f>
        <v>1</v>
      </c>
      <c r="G180" s="4" t="n">
        <v>0.73</v>
      </c>
      <c r="H180" s="4" t="n">
        <v>33</v>
      </c>
      <c r="I180" s="4" t="n">
        <v>0</v>
      </c>
      <c r="J180" s="4" t="n">
        <v>441</v>
      </c>
      <c r="K180" s="4" t="n">
        <f aca="false">IF(G180&lt;=0,"n/a",ROUND(I180/G180,0))</f>
        <v>0</v>
      </c>
      <c r="L180" s="4" t="n">
        <v>33</v>
      </c>
      <c r="M180" s="4" t="n">
        <v>0</v>
      </c>
      <c r="N180" s="4" t="n">
        <v>33</v>
      </c>
      <c r="O180" s="4" t="n">
        <v>0</v>
      </c>
      <c r="P180" s="4" t="n">
        <v>0</v>
      </c>
      <c r="Q180" s="4" t="n">
        <f aca="false">O180+P180</f>
        <v>0</v>
      </c>
      <c r="R180" s="4" t="n">
        <v>0</v>
      </c>
      <c r="S180" s="4" t="n">
        <f aca="false">MAX(0,Q180-J180)</f>
        <v>0</v>
      </c>
      <c r="T180" s="4" t="n">
        <f aca="false">IF(G180&lt;=0,"n/a",ROUND((I180+O180)/G180,0))</f>
        <v>0</v>
      </c>
      <c r="U180" s="4" t="s">
        <v>437</v>
      </c>
      <c r="V180" s="4" t="s">
        <v>442</v>
      </c>
    </row>
    <row r="181" customFormat="false" ht="15" hidden="false" customHeight="false" outlineLevel="0" collapsed="false">
      <c r="A181" s="4" t="s">
        <v>267</v>
      </c>
      <c r="B181" s="4" t="s">
        <v>268</v>
      </c>
      <c r="C181" s="4" t="s">
        <v>269</v>
      </c>
      <c r="D181" s="4" t="n">
        <v>1</v>
      </c>
      <c r="E181" s="4" t="n">
        <v>6</v>
      </c>
      <c r="F181" s="6" t="n">
        <f aca="false">IF((D181+E181)=0,0,E181/(D181+E181))</f>
        <v>0.857142857142857</v>
      </c>
      <c r="G181" s="4" t="n">
        <v>0.47</v>
      </c>
      <c r="H181" s="4" t="n">
        <v>21</v>
      </c>
      <c r="I181" s="4" t="n">
        <v>24</v>
      </c>
      <c r="J181" s="4" t="n">
        <v>119</v>
      </c>
      <c r="K181" s="4" t="n">
        <f aca="false">IF(G181&lt;=0,"n/a",ROUND(I181/G181,0))</f>
        <v>51</v>
      </c>
      <c r="L181" s="4" t="n">
        <v>18</v>
      </c>
      <c r="M181" s="4" t="n">
        <v>16.2</v>
      </c>
      <c r="N181" s="4" t="n">
        <v>1.8</v>
      </c>
      <c r="O181" s="4" t="n">
        <v>6</v>
      </c>
      <c r="P181" s="4" t="n">
        <v>0</v>
      </c>
      <c r="Q181" s="4" t="n">
        <f aca="false">O181+P181</f>
        <v>6</v>
      </c>
      <c r="R181" s="4" t="n">
        <v>0</v>
      </c>
      <c r="S181" s="4" t="n">
        <f aca="false">MAX(0,Q181-J181)</f>
        <v>0</v>
      </c>
      <c r="T181" s="4" t="n">
        <f aca="false">IF(G181&lt;=0,"n/a",ROUND((I181+O181)/G181,0))</f>
        <v>64</v>
      </c>
      <c r="U181" s="4" t="s">
        <v>437</v>
      </c>
      <c r="V181" s="4" t="s">
        <v>448</v>
      </c>
    </row>
    <row r="182" customFormat="false" ht="15" hidden="false" customHeight="false" outlineLevel="0" collapsed="false">
      <c r="A182" s="4" t="s">
        <v>270</v>
      </c>
      <c r="B182" s="4" t="s">
        <v>271</v>
      </c>
      <c r="C182" s="4" t="s">
        <v>272</v>
      </c>
      <c r="D182" s="4" t="n">
        <v>11</v>
      </c>
      <c r="E182" s="4" t="n">
        <v>1</v>
      </c>
      <c r="F182" s="6" t="n">
        <f aca="false">IF((D182+E182)=0,0,E182/(D182+E182))</f>
        <v>0.0833333333333333</v>
      </c>
      <c r="G182" s="4" t="n">
        <v>0.8</v>
      </c>
      <c r="H182" s="4" t="n">
        <v>36</v>
      </c>
      <c r="I182" s="4" t="n">
        <v>11</v>
      </c>
      <c r="J182" s="4" t="n">
        <v>468</v>
      </c>
      <c r="K182" s="4" t="n">
        <f aca="false">IF(G182&lt;=0,"n/a",ROUND(I182/G182,0))</f>
        <v>14</v>
      </c>
      <c r="L182" s="4" t="n">
        <v>35</v>
      </c>
      <c r="M182" s="4" t="n">
        <v>11.1</v>
      </c>
      <c r="N182" s="4" t="n">
        <v>23.9</v>
      </c>
      <c r="O182" s="4" t="n">
        <v>18</v>
      </c>
      <c r="P182" s="4" t="n">
        <v>0</v>
      </c>
      <c r="Q182" s="4" t="n">
        <f aca="false">O182+P182</f>
        <v>18</v>
      </c>
      <c r="R182" s="4" t="n">
        <v>0</v>
      </c>
      <c r="S182" s="4" t="n">
        <f aca="false">MAX(0,Q182-J182)</f>
        <v>0</v>
      </c>
      <c r="T182" s="4" t="n">
        <f aca="false">IF(G182&lt;=0,"n/a",ROUND((I182+O182)/G182,0))</f>
        <v>36</v>
      </c>
      <c r="U182" s="4" t="s">
        <v>447</v>
      </c>
      <c r="V182" s="4" t="s">
        <v>448</v>
      </c>
    </row>
    <row r="183" customFormat="false" ht="15" hidden="false" customHeight="false" outlineLevel="0" collapsed="false">
      <c r="A183" s="4" t="s">
        <v>273</v>
      </c>
      <c r="B183" s="4" t="s">
        <v>274</v>
      </c>
      <c r="C183" s="4" t="s">
        <v>275</v>
      </c>
      <c r="D183" s="4" t="n">
        <v>96</v>
      </c>
      <c r="E183" s="4" t="n">
        <v>18</v>
      </c>
      <c r="F183" s="6" t="n">
        <f aca="false">IF((D183+E183)=0,0,E183/(D183+E183))</f>
        <v>0.157894736842105</v>
      </c>
      <c r="G183" s="4" t="n">
        <v>7.6</v>
      </c>
      <c r="H183" s="4" t="n">
        <v>342</v>
      </c>
      <c r="I183" s="4" t="n">
        <v>74</v>
      </c>
      <c r="J183" s="4" t="n">
        <v>790</v>
      </c>
      <c r="K183" s="4" t="n">
        <f aca="false">IF(G183&lt;=0,"n/a",ROUND(I183/G183,0))</f>
        <v>10</v>
      </c>
      <c r="L183" s="4" t="n">
        <v>287.5</v>
      </c>
      <c r="M183" s="4" t="n">
        <v>270.9</v>
      </c>
      <c r="N183" s="4" t="n">
        <v>16.6</v>
      </c>
      <c r="O183" s="4" t="n">
        <v>24</v>
      </c>
      <c r="P183" s="4" t="n">
        <v>2</v>
      </c>
      <c r="Q183" s="4" t="n">
        <f aca="false">O183+P183</f>
        <v>26</v>
      </c>
      <c r="R183" s="4" t="n">
        <v>0</v>
      </c>
      <c r="S183" s="4" t="n">
        <f aca="false">MAX(0,Q183-J183)</f>
        <v>0</v>
      </c>
      <c r="T183" s="4" t="n">
        <f aca="false">IF(G183&lt;=0,"n/a",ROUND((I183+O183)/G183,0))</f>
        <v>13</v>
      </c>
      <c r="U183" s="4" t="s">
        <v>479</v>
      </c>
      <c r="V183" s="4" t="s">
        <v>438</v>
      </c>
    </row>
    <row r="184" customFormat="false" ht="15" hidden="false" customHeight="false" outlineLevel="0" collapsed="false">
      <c r="A184" s="4" t="s">
        <v>276</v>
      </c>
      <c r="B184" s="4" t="s">
        <v>277</v>
      </c>
      <c r="C184" s="4" t="s">
        <v>278</v>
      </c>
      <c r="D184" s="4" t="n">
        <v>5</v>
      </c>
      <c r="E184" s="4" t="n">
        <v>20</v>
      </c>
      <c r="F184" s="6" t="n">
        <f aca="false">IF((D184+E184)=0,0,E184/(D184+E184))</f>
        <v>0.8</v>
      </c>
      <c r="G184" s="4" t="n">
        <v>1.67</v>
      </c>
      <c r="H184" s="4" t="n">
        <v>75</v>
      </c>
      <c r="I184" s="4" t="n">
        <v>7</v>
      </c>
      <c r="J184" s="4" t="n">
        <v>470</v>
      </c>
      <c r="K184" s="4" t="n">
        <f aca="false">IF(G184&lt;=0,"n/a",ROUND(I184/G184,0))</f>
        <v>4</v>
      </c>
      <c r="L184" s="4" t="n">
        <v>68</v>
      </c>
      <c r="M184" s="4" t="n">
        <v>17.6</v>
      </c>
      <c r="N184" s="4" t="n">
        <v>50.4</v>
      </c>
      <c r="O184" s="4" t="n">
        <v>11</v>
      </c>
      <c r="P184" s="4" t="n">
        <v>0</v>
      </c>
      <c r="Q184" s="4" t="n">
        <f aca="false">O184+P184</f>
        <v>11</v>
      </c>
      <c r="R184" s="4" t="n">
        <v>0</v>
      </c>
      <c r="S184" s="4" t="n">
        <f aca="false">MAX(0,Q184-J184)</f>
        <v>0</v>
      </c>
      <c r="T184" s="4" t="n">
        <f aca="false">IF(G184&lt;=0,"n/a",ROUND((I184+O184)/G184,0))</f>
        <v>11</v>
      </c>
      <c r="U184" s="4" t="s">
        <v>479</v>
      </c>
      <c r="V184" s="4" t="s">
        <v>448</v>
      </c>
    </row>
    <row r="185" customFormat="false" ht="15" hidden="false" customHeight="false" outlineLevel="0" collapsed="false">
      <c r="A185" s="4" t="s">
        <v>279</v>
      </c>
      <c r="B185" s="4" t="s">
        <v>280</v>
      </c>
      <c r="C185" s="4" t="s">
        <v>281</v>
      </c>
      <c r="D185" s="4" t="n">
        <v>4</v>
      </c>
      <c r="E185" s="4" t="n">
        <v>1</v>
      </c>
      <c r="F185" s="6" t="n">
        <f aca="false">IF((D185+E185)=0,0,E185/(D185+E185))</f>
        <v>0.2</v>
      </c>
      <c r="G185" s="4" t="n">
        <v>0.33</v>
      </c>
      <c r="H185" s="4" t="n">
        <v>15</v>
      </c>
      <c r="I185" s="4" t="n">
        <v>8</v>
      </c>
      <c r="J185" s="4" t="n">
        <v>669</v>
      </c>
      <c r="K185" s="4" t="n">
        <f aca="false">IF(G185&lt;=0,"n/a",ROUND(I185/G185,0))</f>
        <v>24</v>
      </c>
      <c r="L185" s="4" t="n">
        <v>14</v>
      </c>
      <c r="M185" s="4" t="n">
        <v>6</v>
      </c>
      <c r="N185" s="4" t="n">
        <v>8</v>
      </c>
      <c r="O185" s="4" t="n">
        <v>0</v>
      </c>
      <c r="P185" s="4" t="n">
        <v>3</v>
      </c>
      <c r="Q185" s="4" t="n">
        <f aca="false">O185+P185</f>
        <v>3</v>
      </c>
      <c r="R185" s="4" t="n">
        <v>0</v>
      </c>
      <c r="S185" s="4" t="n">
        <f aca="false">MAX(0,Q185-J185)</f>
        <v>0</v>
      </c>
      <c r="T185" s="4" t="n">
        <f aca="false">IF(G185&lt;=0,"n/a",ROUND((I185+O185)/G185,0))</f>
        <v>24</v>
      </c>
      <c r="U185" s="4" t="s">
        <v>447</v>
      </c>
      <c r="V185" s="4" t="s">
        <v>747</v>
      </c>
    </row>
    <row r="186" customFormat="false" ht="15" hidden="false" customHeight="false" outlineLevel="0" collapsed="false">
      <c r="A186" s="4" t="s">
        <v>282</v>
      </c>
      <c r="B186" s="4" t="s">
        <v>283</v>
      </c>
      <c r="C186" s="4" t="s">
        <v>284</v>
      </c>
      <c r="D186" s="4" t="n">
        <v>6</v>
      </c>
      <c r="E186" s="4" t="n">
        <v>5</v>
      </c>
      <c r="F186" s="6" t="n">
        <f aca="false">IF((D186+E186)=0,0,E186/(D186+E186))</f>
        <v>0.454545454545455</v>
      </c>
      <c r="G186" s="4" t="n">
        <v>0.73</v>
      </c>
      <c r="H186" s="4" t="n">
        <v>33</v>
      </c>
      <c r="I186" s="4" t="n">
        <v>40</v>
      </c>
      <c r="J186" s="4" t="n">
        <v>496</v>
      </c>
      <c r="K186" s="4" t="n">
        <f aca="false">IF(G186&lt;=0,"n/a",ROUND(I186/G186,0))</f>
        <v>55</v>
      </c>
      <c r="L186" s="4" t="n">
        <v>23</v>
      </c>
      <c r="M186" s="4" t="n">
        <v>20.1</v>
      </c>
      <c r="N186" s="4" t="n">
        <v>2.9</v>
      </c>
      <c r="O186" s="4" t="n">
        <v>4</v>
      </c>
      <c r="P186" s="4" t="n">
        <v>0</v>
      </c>
      <c r="Q186" s="4" t="n">
        <f aca="false">O186+P186</f>
        <v>4</v>
      </c>
      <c r="R186" s="4" t="n">
        <v>0</v>
      </c>
      <c r="S186" s="4" t="n">
        <f aca="false">MAX(0,Q186-J186)</f>
        <v>0</v>
      </c>
      <c r="T186" s="4" t="n">
        <f aca="false">IF(G186&lt;=0,"n/a",ROUND((I186+O186)/G186,0))</f>
        <v>60</v>
      </c>
      <c r="U186" s="4" t="s">
        <v>447</v>
      </c>
      <c r="V186" s="4" t="s">
        <v>448</v>
      </c>
    </row>
    <row r="187" customFormat="false" ht="15" hidden="false" customHeight="false" outlineLevel="0" collapsed="false">
      <c r="A187" s="4" t="s">
        <v>285</v>
      </c>
      <c r="B187" s="4" t="s">
        <v>286</v>
      </c>
      <c r="C187" s="4" t="s">
        <v>287</v>
      </c>
      <c r="D187" s="4" t="n">
        <v>0</v>
      </c>
      <c r="E187" s="4" t="n">
        <v>3</v>
      </c>
      <c r="F187" s="6" t="n">
        <f aca="false">IF((D187+E187)=0,0,E187/(D187+E187))</f>
        <v>1</v>
      </c>
      <c r="G187" s="4" t="n">
        <v>0.2</v>
      </c>
      <c r="H187" s="4" t="n">
        <v>9</v>
      </c>
      <c r="I187" s="4" t="n">
        <v>0</v>
      </c>
      <c r="J187" s="4" t="n">
        <v>218</v>
      </c>
      <c r="K187" s="4" t="n">
        <f aca="false">IF(G187&lt;=0,"n/a",ROUND(I187/G187,0))</f>
        <v>0</v>
      </c>
      <c r="L187" s="4" t="n">
        <v>9</v>
      </c>
      <c r="M187" s="4" t="n">
        <v>0</v>
      </c>
      <c r="N187" s="4" t="n">
        <v>9</v>
      </c>
      <c r="O187" s="4" t="n">
        <v>2</v>
      </c>
      <c r="P187" s="4" t="n">
        <v>7</v>
      </c>
      <c r="Q187" s="4" t="n">
        <f aca="false">O187+P187</f>
        <v>9</v>
      </c>
      <c r="R187" s="4" t="n">
        <v>0</v>
      </c>
      <c r="S187" s="4" t="n">
        <f aca="false">MAX(0,Q187-J187)</f>
        <v>0</v>
      </c>
      <c r="T187" s="4" t="n">
        <f aca="false">IF(G187&lt;=0,"n/a",ROUND((I187+O187)/G187,0))</f>
        <v>10</v>
      </c>
      <c r="U187" s="4" t="s">
        <v>437</v>
      </c>
      <c r="V187" s="4" t="s">
        <v>438</v>
      </c>
    </row>
    <row r="188" customFormat="false" ht="15" hidden="false" customHeight="false" outlineLevel="0" collapsed="false">
      <c r="A188" s="4" t="s">
        <v>748</v>
      </c>
      <c r="B188" s="4" t="s">
        <v>749</v>
      </c>
      <c r="C188" s="4" t="s">
        <v>750</v>
      </c>
      <c r="D188" s="4" t="n">
        <v>0</v>
      </c>
      <c r="E188" s="4" t="n">
        <v>10</v>
      </c>
      <c r="F188" s="6" t="n">
        <f aca="false">IF((D188+E188)=0,0,E188/(D188+E188))</f>
        <v>1</v>
      </c>
      <c r="G188" s="4" t="n">
        <v>0.67</v>
      </c>
      <c r="H188" s="4" t="n">
        <v>30</v>
      </c>
      <c r="I188" s="4" t="n">
        <v>0</v>
      </c>
      <c r="J188" s="4" t="n">
        <v>214</v>
      </c>
      <c r="K188" s="4" t="n">
        <f aca="false">IF(G188&lt;=0,"n/a",ROUND(I188/G188,0))</f>
        <v>0</v>
      </c>
      <c r="L188" s="4" t="n">
        <v>30</v>
      </c>
      <c r="M188" s="4" t="n">
        <v>21</v>
      </c>
      <c r="N188" s="4" t="n">
        <v>9</v>
      </c>
      <c r="O188" s="4" t="n">
        <v>0</v>
      </c>
      <c r="P188" s="4" t="n">
        <v>0</v>
      </c>
      <c r="Q188" s="4" t="n">
        <f aca="false">O188+P188</f>
        <v>0</v>
      </c>
      <c r="R188" s="4" t="n">
        <v>0</v>
      </c>
      <c r="S188" s="4" t="n">
        <f aca="false">MAX(0,Q188-J188)</f>
        <v>0</v>
      </c>
      <c r="T188" s="4" t="n">
        <f aca="false">IF(G188&lt;=0,"n/a",ROUND((I188+O188)/G188,0))</f>
        <v>0</v>
      </c>
      <c r="U188" s="4" t="s">
        <v>437</v>
      </c>
      <c r="V188" s="4" t="s">
        <v>442</v>
      </c>
    </row>
    <row r="189" customFormat="false" ht="15" hidden="false" customHeight="false" outlineLevel="0" collapsed="false">
      <c r="A189" s="4" t="s">
        <v>288</v>
      </c>
      <c r="B189" s="4" t="s">
        <v>289</v>
      </c>
      <c r="C189" s="4" t="s">
        <v>290</v>
      </c>
      <c r="D189" s="4" t="n">
        <v>0</v>
      </c>
      <c r="E189" s="4" t="n">
        <v>2</v>
      </c>
      <c r="F189" s="6" t="n">
        <f aca="false">IF((D189+E189)=0,0,E189/(D189+E189))</f>
        <v>1</v>
      </c>
      <c r="G189" s="4" t="n">
        <v>0.13</v>
      </c>
      <c r="H189" s="4" t="n">
        <v>6</v>
      </c>
      <c r="I189" s="4" t="n">
        <v>0</v>
      </c>
      <c r="J189" s="4" t="n">
        <v>218</v>
      </c>
      <c r="K189" s="4" t="n">
        <f aca="false">IF(G189&lt;=0,"n/a",ROUND(I189/G189,0))</f>
        <v>0</v>
      </c>
      <c r="L189" s="4" t="n">
        <v>6</v>
      </c>
      <c r="M189" s="4" t="n">
        <v>0</v>
      </c>
      <c r="N189" s="4" t="n">
        <v>6</v>
      </c>
      <c r="O189" s="4" t="n">
        <v>2</v>
      </c>
      <c r="P189" s="4" t="n">
        <v>4</v>
      </c>
      <c r="Q189" s="4" t="n">
        <f aca="false">O189+P189</f>
        <v>6</v>
      </c>
      <c r="R189" s="4" t="n">
        <v>0</v>
      </c>
      <c r="S189" s="4" t="n">
        <f aca="false">MAX(0,Q189-J189)</f>
        <v>0</v>
      </c>
      <c r="T189" s="4" t="n">
        <f aca="false">IF(G189&lt;=0,"n/a",ROUND((I189+O189)/G189,0))</f>
        <v>15</v>
      </c>
      <c r="U189" s="4" t="s">
        <v>437</v>
      </c>
      <c r="V189" s="4" t="s">
        <v>438</v>
      </c>
    </row>
    <row r="190" customFormat="false" ht="15" hidden="false" customHeight="false" outlineLevel="0" collapsed="false">
      <c r="A190" s="4" t="s">
        <v>291</v>
      </c>
      <c r="B190" s="4" t="s">
        <v>292</v>
      </c>
      <c r="C190" s="4" t="s">
        <v>293</v>
      </c>
      <c r="D190" s="4" t="n">
        <v>1</v>
      </c>
      <c r="E190" s="4" t="n">
        <v>32</v>
      </c>
      <c r="F190" s="6" t="n">
        <f aca="false">IF((D190+E190)=0,0,E190/(D190+E190))</f>
        <v>0.96969696969697</v>
      </c>
      <c r="G190" s="4" t="n">
        <v>2.2</v>
      </c>
      <c r="H190" s="4" t="n">
        <v>99</v>
      </c>
      <c r="I190" s="4" t="n">
        <v>11</v>
      </c>
      <c r="J190" s="4" t="n">
        <v>65</v>
      </c>
      <c r="K190" s="4" t="n">
        <f aca="false">IF(G190&lt;=0,"n/a",ROUND(I190/G190,0))</f>
        <v>5</v>
      </c>
      <c r="L190" s="4" t="n">
        <v>88</v>
      </c>
      <c r="M190" s="4" t="n">
        <v>32</v>
      </c>
      <c r="N190" s="4" t="n">
        <v>56</v>
      </c>
      <c r="O190" s="4" t="n">
        <v>17</v>
      </c>
      <c r="P190" s="4" t="n">
        <v>0</v>
      </c>
      <c r="Q190" s="4" t="n">
        <f aca="false">O190+P190</f>
        <v>17</v>
      </c>
      <c r="R190" s="4" t="n">
        <v>0</v>
      </c>
      <c r="S190" s="4" t="n">
        <f aca="false">MAX(0,Q190-J190)</f>
        <v>0</v>
      </c>
      <c r="T190" s="4" t="n">
        <f aca="false">IF(G190&lt;=0,"n/a",ROUND((I190+O190)/G190,0))</f>
        <v>13</v>
      </c>
      <c r="U190" s="4" t="s">
        <v>437</v>
      </c>
      <c r="V190" s="4" t="s">
        <v>448</v>
      </c>
    </row>
    <row r="191" customFormat="false" ht="15" hidden="false" customHeight="false" outlineLevel="0" collapsed="false">
      <c r="A191" s="4" t="s">
        <v>294</v>
      </c>
      <c r="B191" s="4" t="s">
        <v>295</v>
      </c>
      <c r="C191" s="4" t="s">
        <v>296</v>
      </c>
      <c r="D191" s="4" t="n">
        <v>0</v>
      </c>
      <c r="E191" s="4" t="n">
        <v>2</v>
      </c>
      <c r="F191" s="6" t="n">
        <f aca="false">IF((D191+E191)=0,0,E191/(D191+E191))</f>
        <v>1</v>
      </c>
      <c r="G191" s="4" t="n">
        <v>0.13</v>
      </c>
      <c r="H191" s="4" t="n">
        <v>6</v>
      </c>
      <c r="I191" s="4" t="n">
        <v>0</v>
      </c>
      <c r="J191" s="4" t="n">
        <v>98</v>
      </c>
      <c r="K191" s="4" t="n">
        <f aca="false">IF(G191&lt;=0,"n/a",ROUND(I191/G191,0))</f>
        <v>0</v>
      </c>
      <c r="L191" s="4" t="n">
        <v>6</v>
      </c>
      <c r="M191" s="4" t="n">
        <v>0</v>
      </c>
      <c r="N191" s="4" t="n">
        <v>6</v>
      </c>
      <c r="O191" s="4" t="n">
        <v>2</v>
      </c>
      <c r="P191" s="4" t="n">
        <v>4</v>
      </c>
      <c r="Q191" s="4" t="n">
        <f aca="false">O191+P191</f>
        <v>6</v>
      </c>
      <c r="R191" s="4" t="n">
        <v>0</v>
      </c>
      <c r="S191" s="4" t="n">
        <f aca="false">MAX(0,Q191-J191)</f>
        <v>0</v>
      </c>
      <c r="T191" s="4" t="n">
        <f aca="false">IF(G191&lt;=0,"n/a",ROUND((I191+O191)/G191,0))</f>
        <v>15</v>
      </c>
      <c r="U191" s="4" t="s">
        <v>437</v>
      </c>
      <c r="V191" s="4" t="s">
        <v>438</v>
      </c>
    </row>
    <row r="192" customFormat="false" ht="15" hidden="false" customHeight="false" outlineLevel="0" collapsed="false">
      <c r="A192" s="4" t="s">
        <v>297</v>
      </c>
      <c r="B192" s="4" t="s">
        <v>298</v>
      </c>
      <c r="C192" s="4" t="s">
        <v>299</v>
      </c>
      <c r="D192" s="4" t="n">
        <v>0</v>
      </c>
      <c r="E192" s="4" t="n">
        <v>4</v>
      </c>
      <c r="F192" s="6" t="n">
        <f aca="false">IF((D192+E192)=0,0,E192/(D192+E192))</f>
        <v>1</v>
      </c>
      <c r="G192" s="4" t="n">
        <v>0.27</v>
      </c>
      <c r="H192" s="4" t="n">
        <v>12</v>
      </c>
      <c r="I192" s="4" t="n">
        <v>0</v>
      </c>
      <c r="J192" s="4" t="n">
        <v>95</v>
      </c>
      <c r="K192" s="4" t="n">
        <f aca="false">IF(G192&lt;=0,"n/a",ROUND(I192/G192,0))</f>
        <v>0</v>
      </c>
      <c r="L192" s="4" t="n">
        <v>12</v>
      </c>
      <c r="M192" s="4" t="n">
        <v>10</v>
      </c>
      <c r="N192" s="4" t="n">
        <v>2</v>
      </c>
      <c r="O192" s="4" t="n">
        <v>2</v>
      </c>
      <c r="P192" s="4" t="n">
        <v>0</v>
      </c>
      <c r="Q192" s="4" t="n">
        <f aca="false">O192+P192</f>
        <v>2</v>
      </c>
      <c r="R192" s="4" t="n">
        <v>0</v>
      </c>
      <c r="S192" s="4" t="n">
        <f aca="false">MAX(0,Q192-J192)</f>
        <v>0</v>
      </c>
      <c r="T192" s="4" t="n">
        <f aca="false">IF(G192&lt;=0,"n/a",ROUND((I192+O192)/G192,0))</f>
        <v>7</v>
      </c>
      <c r="U192" s="4" t="s">
        <v>437</v>
      </c>
      <c r="V192" s="4" t="s">
        <v>448</v>
      </c>
    </row>
    <row r="193" customFormat="false" ht="15" hidden="false" customHeight="false" outlineLevel="0" collapsed="false">
      <c r="A193" s="4" t="s">
        <v>300</v>
      </c>
      <c r="B193" s="4" t="s">
        <v>301</v>
      </c>
      <c r="C193" s="4" t="s">
        <v>302</v>
      </c>
      <c r="D193" s="4" t="n">
        <v>1</v>
      </c>
      <c r="E193" s="4" t="n">
        <v>2</v>
      </c>
      <c r="F193" s="6" t="n">
        <f aca="false">IF((D193+E193)=0,0,E193/(D193+E193))</f>
        <v>0.666666666666667</v>
      </c>
      <c r="G193" s="4" t="n">
        <v>0.2</v>
      </c>
      <c r="H193" s="4" t="n">
        <v>9</v>
      </c>
      <c r="I193" s="4" t="n">
        <v>11</v>
      </c>
      <c r="J193" s="4" t="n">
        <v>98</v>
      </c>
      <c r="K193" s="4" t="n">
        <f aca="false">IF(G193&lt;=0,"n/a",ROUND(I193/G193,0))</f>
        <v>55</v>
      </c>
      <c r="L193" s="4" t="n">
        <v>9</v>
      </c>
      <c r="M193" s="4" t="n">
        <v>5.3</v>
      </c>
      <c r="N193" s="4" t="n">
        <v>3.7</v>
      </c>
      <c r="O193" s="4" t="n">
        <v>4</v>
      </c>
      <c r="P193" s="4" t="n">
        <v>0</v>
      </c>
      <c r="Q193" s="4" t="n">
        <f aca="false">O193+P193</f>
        <v>4</v>
      </c>
      <c r="R193" s="4" t="n">
        <v>0</v>
      </c>
      <c r="S193" s="4" t="n">
        <f aca="false">MAX(0,Q193-J193)</f>
        <v>0</v>
      </c>
      <c r="T193" s="4" t="n">
        <f aca="false">IF(G193&lt;=0,"n/a",ROUND((I193+O193)/G193,0))</f>
        <v>75</v>
      </c>
      <c r="U193" s="4" t="s">
        <v>437</v>
      </c>
      <c r="V193" s="4" t="s">
        <v>448</v>
      </c>
    </row>
    <row r="194" customFormat="false" ht="15" hidden="false" customHeight="false" outlineLevel="0" collapsed="false">
      <c r="A194" s="4" t="s">
        <v>751</v>
      </c>
      <c r="B194" s="4" t="s">
        <v>752</v>
      </c>
      <c r="C194" s="4" t="s">
        <v>753</v>
      </c>
      <c r="D194" s="4" t="n">
        <v>1</v>
      </c>
      <c r="E194" s="4" t="n">
        <v>11</v>
      </c>
      <c r="F194" s="6" t="n">
        <f aca="false">IF((D194+E194)=0,0,E194/(D194+E194))</f>
        <v>0.916666666666667</v>
      </c>
      <c r="G194" s="4" t="n">
        <v>0.8</v>
      </c>
      <c r="H194" s="4" t="n">
        <v>36</v>
      </c>
      <c r="I194" s="4" t="n">
        <v>13</v>
      </c>
      <c r="J194" s="4" t="n">
        <v>89</v>
      </c>
      <c r="K194" s="4" t="n">
        <f aca="false">IF(G194&lt;=0,"n/a",ROUND(I194/G194,0))</f>
        <v>16</v>
      </c>
      <c r="L194" s="4" t="n">
        <v>28</v>
      </c>
      <c r="M194" s="4" t="n">
        <v>21.1</v>
      </c>
      <c r="N194" s="4" t="n">
        <v>6.9</v>
      </c>
      <c r="O194" s="4" t="n">
        <v>0</v>
      </c>
      <c r="P194" s="4" t="n">
        <v>0</v>
      </c>
      <c r="Q194" s="4" t="n">
        <f aca="false">O194+P194</f>
        <v>0</v>
      </c>
      <c r="R194" s="4" t="n">
        <v>0</v>
      </c>
      <c r="S194" s="4" t="n">
        <f aca="false">MAX(0,Q194-J194)</f>
        <v>0</v>
      </c>
      <c r="T194" s="4" t="n">
        <f aca="false">IF(G194&lt;=0,"n/a",ROUND((I194+O194)/G194,0))</f>
        <v>16</v>
      </c>
      <c r="U194" s="4" t="s">
        <v>437</v>
      </c>
      <c r="V194" s="4" t="s">
        <v>442</v>
      </c>
    </row>
    <row r="195" customFormat="false" ht="15" hidden="false" customHeight="false" outlineLevel="0" collapsed="false">
      <c r="A195" s="4" t="s">
        <v>303</v>
      </c>
      <c r="B195" s="4" t="s">
        <v>304</v>
      </c>
      <c r="C195" s="4" t="s">
        <v>305</v>
      </c>
      <c r="D195" s="4" t="n">
        <v>3</v>
      </c>
      <c r="E195" s="4" t="n">
        <v>3</v>
      </c>
      <c r="F195" s="6" t="n">
        <f aca="false">IF((D195+E195)=0,0,E195/(D195+E195))</f>
        <v>0.5</v>
      </c>
      <c r="G195" s="4" t="n">
        <v>0.4</v>
      </c>
      <c r="H195" s="4" t="n">
        <v>18</v>
      </c>
      <c r="I195" s="4" t="n">
        <v>19</v>
      </c>
      <c r="J195" s="4" t="n">
        <v>97</v>
      </c>
      <c r="K195" s="4" t="n">
        <f aca="false">IF(G195&lt;=0,"n/a",ROUND(I195/G195,0))</f>
        <v>48</v>
      </c>
      <c r="L195" s="4" t="n">
        <v>18</v>
      </c>
      <c r="M195" s="4" t="n">
        <v>8.5</v>
      </c>
      <c r="N195" s="4" t="n">
        <v>9.5</v>
      </c>
      <c r="O195" s="4" t="n">
        <v>5</v>
      </c>
      <c r="P195" s="4" t="n">
        <v>4</v>
      </c>
      <c r="Q195" s="4" t="n">
        <f aca="false">O195+P195</f>
        <v>9</v>
      </c>
      <c r="R195" s="4" t="n">
        <v>0</v>
      </c>
      <c r="S195" s="4" t="n">
        <f aca="false">MAX(0,Q195-J195)</f>
        <v>0</v>
      </c>
      <c r="T195" s="4" t="n">
        <f aca="false">IF(G195&lt;=0,"n/a",ROUND((I195+O195)/G195,0))</f>
        <v>60</v>
      </c>
      <c r="U195" s="4" t="s">
        <v>447</v>
      </c>
      <c r="V195" s="4" t="s">
        <v>438</v>
      </c>
    </row>
    <row r="196" customFormat="false" ht="15" hidden="false" customHeight="false" outlineLevel="0" collapsed="false">
      <c r="A196" s="4" t="s">
        <v>306</v>
      </c>
      <c r="B196" s="4" t="s">
        <v>307</v>
      </c>
      <c r="C196" s="4" t="s">
        <v>308</v>
      </c>
      <c r="D196" s="4" t="n">
        <v>1</v>
      </c>
      <c r="E196" s="4" t="n">
        <v>1</v>
      </c>
      <c r="F196" s="6" t="n">
        <f aca="false">IF((D196+E196)=0,0,E196/(D196+E196))</f>
        <v>0.5</v>
      </c>
      <c r="G196" s="4" t="n">
        <v>0.13</v>
      </c>
      <c r="H196" s="4" t="n">
        <v>6</v>
      </c>
      <c r="I196" s="4" t="n">
        <v>12</v>
      </c>
      <c r="J196" s="4" t="n">
        <v>99</v>
      </c>
      <c r="K196" s="4" t="n">
        <f aca="false">IF(G196&lt;=0,"n/a",ROUND(I196/G196,0))</f>
        <v>92</v>
      </c>
      <c r="L196" s="4" t="n">
        <v>5</v>
      </c>
      <c r="M196" s="4" t="n">
        <v>0</v>
      </c>
      <c r="N196" s="4" t="n">
        <v>5</v>
      </c>
      <c r="O196" s="4" t="n">
        <v>5</v>
      </c>
      <c r="P196" s="4" t="n">
        <v>0</v>
      </c>
      <c r="Q196" s="4" t="n">
        <f aca="false">O196+P196</f>
        <v>5</v>
      </c>
      <c r="R196" s="4" t="n">
        <v>0</v>
      </c>
      <c r="S196" s="4" t="n">
        <f aca="false">MAX(0,Q196-J196)</f>
        <v>0</v>
      </c>
      <c r="T196" s="4" t="n">
        <f aca="false">IF(G196&lt;=0,"n/a",ROUND((I196+O196)/G196,0))</f>
        <v>131</v>
      </c>
      <c r="U196" s="4" t="s">
        <v>437</v>
      </c>
      <c r="V196" s="4" t="s">
        <v>448</v>
      </c>
    </row>
    <row r="197" customFormat="false" ht="15" hidden="false" customHeight="false" outlineLevel="0" collapsed="false">
      <c r="A197" s="4" t="s">
        <v>309</v>
      </c>
      <c r="B197" s="4" t="s">
        <v>310</v>
      </c>
      <c r="C197" s="4" t="s">
        <v>311</v>
      </c>
      <c r="D197" s="4" t="n">
        <v>0</v>
      </c>
      <c r="E197" s="4" t="n">
        <v>3</v>
      </c>
      <c r="F197" s="6" t="n">
        <f aca="false">IF((D197+E197)=0,0,E197/(D197+E197))</f>
        <v>1</v>
      </c>
      <c r="G197" s="4" t="n">
        <v>0.2</v>
      </c>
      <c r="H197" s="4" t="n">
        <v>9</v>
      </c>
      <c r="I197" s="4" t="n">
        <v>0</v>
      </c>
      <c r="J197" s="4" t="n">
        <v>97</v>
      </c>
      <c r="K197" s="4" t="n">
        <f aca="false">IF(G197&lt;=0,"n/a",ROUND(I197/G197,0))</f>
        <v>0</v>
      </c>
      <c r="L197" s="4" t="n">
        <v>9</v>
      </c>
      <c r="M197" s="4" t="n">
        <v>0</v>
      </c>
      <c r="N197" s="4" t="n">
        <v>9</v>
      </c>
      <c r="O197" s="4" t="n">
        <v>2</v>
      </c>
      <c r="P197" s="4" t="n">
        <v>7</v>
      </c>
      <c r="Q197" s="4" t="n">
        <f aca="false">O197+P197</f>
        <v>9</v>
      </c>
      <c r="R197" s="4" t="n">
        <v>0</v>
      </c>
      <c r="S197" s="4" t="n">
        <f aca="false">MAX(0,Q197-J197)</f>
        <v>0</v>
      </c>
      <c r="T197" s="4" t="n">
        <f aca="false">IF(G197&lt;=0,"n/a",ROUND((I197+O197)/G197,0))</f>
        <v>10</v>
      </c>
      <c r="U197" s="4" t="s">
        <v>437</v>
      </c>
      <c r="V197" s="4" t="s">
        <v>438</v>
      </c>
    </row>
    <row r="198" customFormat="false" ht="15" hidden="false" customHeight="false" outlineLevel="0" collapsed="false">
      <c r="A198" s="4" t="s">
        <v>754</v>
      </c>
      <c r="B198" s="4" t="s">
        <v>755</v>
      </c>
      <c r="C198" s="4" t="s">
        <v>756</v>
      </c>
      <c r="D198" s="4" t="n">
        <v>0</v>
      </c>
      <c r="E198" s="4" t="n">
        <v>2</v>
      </c>
      <c r="F198" s="6" t="n">
        <f aca="false">IF((D198+E198)=0,0,E198/(D198+E198))</f>
        <v>1</v>
      </c>
      <c r="G198" s="4" t="n">
        <v>0.13</v>
      </c>
      <c r="H198" s="4" t="n">
        <v>6</v>
      </c>
      <c r="I198" s="4" t="n">
        <v>2</v>
      </c>
      <c r="J198" s="4" t="n">
        <v>97</v>
      </c>
      <c r="K198" s="4" t="n">
        <f aca="false">IF(G198&lt;=0,"n/a",ROUND(I198/G198,0))</f>
        <v>15</v>
      </c>
      <c r="L198" s="4" t="n">
        <v>6</v>
      </c>
      <c r="M198" s="4" t="n">
        <v>8.5</v>
      </c>
      <c r="N198" s="4" t="n">
        <v>0</v>
      </c>
      <c r="O198" s="4" t="n">
        <v>0</v>
      </c>
      <c r="P198" s="4" t="n">
        <v>0</v>
      </c>
      <c r="Q198" s="4" t="n">
        <f aca="false">O198+P198</f>
        <v>0</v>
      </c>
      <c r="R198" s="4" t="n">
        <v>0</v>
      </c>
      <c r="S198" s="4" t="n">
        <f aca="false">MAX(0,Q198-J198)</f>
        <v>0</v>
      </c>
      <c r="T198" s="4" t="n">
        <f aca="false">IF(G198&lt;=0,"n/a",ROUND((I198+O198)/G198,0))</f>
        <v>15</v>
      </c>
      <c r="U198" s="4" t="s">
        <v>437</v>
      </c>
      <c r="V198" s="4" t="s">
        <v>446</v>
      </c>
    </row>
    <row r="199" customFormat="false" ht="15" hidden="false" customHeight="false" outlineLevel="0" collapsed="false">
      <c r="A199" s="4" t="s">
        <v>312</v>
      </c>
      <c r="B199" s="4" t="s">
        <v>313</v>
      </c>
      <c r="C199" s="4" t="s">
        <v>314</v>
      </c>
      <c r="D199" s="4" t="n">
        <v>6</v>
      </c>
      <c r="E199" s="4" t="n">
        <v>4</v>
      </c>
      <c r="F199" s="6" t="n">
        <f aca="false">IF((D199+E199)=0,0,E199/(D199+E199))</f>
        <v>0.4</v>
      </c>
      <c r="G199" s="4" t="n">
        <v>0.67</v>
      </c>
      <c r="H199" s="4" t="n">
        <v>30</v>
      </c>
      <c r="I199" s="4" t="n">
        <v>6</v>
      </c>
      <c r="J199" s="4" t="n">
        <v>111</v>
      </c>
      <c r="K199" s="4" t="n">
        <f aca="false">IF(G199&lt;=0,"n/a",ROUND(I199/G199,0))</f>
        <v>9</v>
      </c>
      <c r="L199" s="4" t="n">
        <v>30</v>
      </c>
      <c r="M199" s="4" t="n">
        <v>16.6</v>
      </c>
      <c r="N199" s="4" t="n">
        <v>13.4</v>
      </c>
      <c r="O199" s="4" t="n">
        <v>2</v>
      </c>
      <c r="P199" s="4" t="n">
        <v>5</v>
      </c>
      <c r="Q199" s="4" t="n">
        <f aca="false">O199+P199</f>
        <v>7</v>
      </c>
      <c r="R199" s="4" t="n">
        <v>0</v>
      </c>
      <c r="S199" s="4" t="n">
        <f aca="false">MAX(0,Q199-J199)</f>
        <v>0</v>
      </c>
      <c r="T199" s="4" t="n">
        <f aca="false">IF(G199&lt;=0,"n/a",ROUND((I199+O199)/G199,0))</f>
        <v>12</v>
      </c>
      <c r="U199" s="4" t="s">
        <v>447</v>
      </c>
      <c r="V199" s="4" t="s">
        <v>438</v>
      </c>
    </row>
    <row r="200" customFormat="false" ht="15" hidden="false" customHeight="false" outlineLevel="0" collapsed="false">
      <c r="A200" s="4" t="s">
        <v>315</v>
      </c>
      <c r="B200" s="4" t="s">
        <v>316</v>
      </c>
      <c r="C200" s="4" t="s">
        <v>317</v>
      </c>
      <c r="D200" s="4" t="n">
        <v>3</v>
      </c>
      <c r="E200" s="4" t="n">
        <v>10</v>
      </c>
      <c r="F200" s="6" t="n">
        <f aca="false">IF((D200+E200)=0,0,E200/(D200+E200))</f>
        <v>0.769230769230769</v>
      </c>
      <c r="G200" s="4" t="n">
        <v>0.87</v>
      </c>
      <c r="H200" s="4" t="n">
        <v>39</v>
      </c>
      <c r="I200" s="4" t="n">
        <v>11</v>
      </c>
      <c r="J200" s="4" t="n">
        <v>102</v>
      </c>
      <c r="K200" s="4" t="n">
        <f aca="false">IF(G200&lt;=0,"n/a",ROUND(I200/G200,0))</f>
        <v>13</v>
      </c>
      <c r="L200" s="4" t="n">
        <v>35</v>
      </c>
      <c r="M200" s="4" t="n">
        <v>7.9</v>
      </c>
      <c r="N200" s="4" t="n">
        <v>27.1</v>
      </c>
      <c r="O200" s="4" t="n">
        <v>8</v>
      </c>
      <c r="P200" s="4" t="n">
        <v>3</v>
      </c>
      <c r="Q200" s="4" t="n">
        <f aca="false">O200+P200</f>
        <v>11</v>
      </c>
      <c r="R200" s="4" t="n">
        <v>0</v>
      </c>
      <c r="S200" s="4" t="n">
        <f aca="false">MAX(0,Q200-J200)</f>
        <v>0</v>
      </c>
      <c r="T200" s="4" t="n">
        <f aca="false">IF(G200&lt;=0,"n/a",ROUND((I200+O200)/G200,0))</f>
        <v>22</v>
      </c>
      <c r="U200" s="4" t="s">
        <v>447</v>
      </c>
      <c r="V200" s="4" t="s">
        <v>438</v>
      </c>
    </row>
    <row r="201" customFormat="false" ht="15" hidden="false" customHeight="false" outlineLevel="0" collapsed="false">
      <c r="A201" s="4" t="s">
        <v>318</v>
      </c>
      <c r="B201" s="4" t="s">
        <v>319</v>
      </c>
      <c r="C201" s="4" t="s">
        <v>320</v>
      </c>
      <c r="D201" s="4" t="n">
        <v>0</v>
      </c>
      <c r="E201" s="4" t="n">
        <v>6</v>
      </c>
      <c r="F201" s="6" t="n">
        <f aca="false">IF((D201+E201)=0,0,E201/(D201+E201))</f>
        <v>1</v>
      </c>
      <c r="G201" s="4" t="n">
        <v>0.4</v>
      </c>
      <c r="H201" s="4" t="n">
        <v>18</v>
      </c>
      <c r="I201" s="4" t="n">
        <v>0</v>
      </c>
      <c r="J201" s="4" t="n">
        <v>505</v>
      </c>
      <c r="K201" s="4" t="n">
        <f aca="false">IF(G201&lt;=0,"n/a",ROUND(I201/G201,0))</f>
        <v>0</v>
      </c>
      <c r="L201" s="4" t="n">
        <v>18</v>
      </c>
      <c r="M201" s="4" t="n">
        <v>0</v>
      </c>
      <c r="N201" s="4" t="n">
        <v>18</v>
      </c>
      <c r="O201" s="4" t="n">
        <v>2</v>
      </c>
      <c r="P201" s="4" t="n">
        <v>16</v>
      </c>
      <c r="Q201" s="4" t="n">
        <f aca="false">O201+P201</f>
        <v>18</v>
      </c>
      <c r="R201" s="4" t="n">
        <v>0</v>
      </c>
      <c r="S201" s="4" t="n">
        <f aca="false">MAX(0,Q201-J201)</f>
        <v>0</v>
      </c>
      <c r="T201" s="4" t="n">
        <f aca="false">IF(G201&lt;=0,"n/a",ROUND((I201+O201)/G201,0))</f>
        <v>5</v>
      </c>
      <c r="U201" s="4" t="s">
        <v>437</v>
      </c>
      <c r="V201" s="4" t="s">
        <v>438</v>
      </c>
    </row>
    <row r="202" customFormat="false" ht="15" hidden="false" customHeight="false" outlineLevel="0" collapsed="false">
      <c r="A202" s="4" t="s">
        <v>757</v>
      </c>
      <c r="B202" s="4" t="s">
        <v>758</v>
      </c>
      <c r="C202" s="4" t="s">
        <v>759</v>
      </c>
      <c r="D202" s="4" t="n">
        <v>0</v>
      </c>
      <c r="E202" s="4" t="n">
        <v>1</v>
      </c>
      <c r="F202" s="6" t="n">
        <f aca="false">IF((D202+E202)=0,0,E202/(D202+E202))</f>
        <v>1</v>
      </c>
      <c r="G202" s="4" t="n">
        <v>0.07</v>
      </c>
      <c r="H202" s="4" t="n">
        <v>3</v>
      </c>
      <c r="I202" s="4" t="n">
        <v>0</v>
      </c>
      <c r="J202" s="4" t="n">
        <v>98</v>
      </c>
      <c r="K202" s="4" t="n">
        <f aca="false">IF(G202&lt;=0,"n/a",ROUND(I202/G202,0))</f>
        <v>0</v>
      </c>
      <c r="L202" s="4" t="n">
        <v>3</v>
      </c>
      <c r="M202" s="4" t="n">
        <v>7</v>
      </c>
      <c r="N202" s="4" t="n">
        <v>0</v>
      </c>
      <c r="O202" s="4" t="n">
        <v>0</v>
      </c>
      <c r="P202" s="4" t="n">
        <v>0</v>
      </c>
      <c r="Q202" s="4" t="n">
        <f aca="false">O202+P202</f>
        <v>0</v>
      </c>
      <c r="R202" s="4" t="n">
        <v>0</v>
      </c>
      <c r="S202" s="4" t="n">
        <f aca="false">MAX(0,Q202-J202)</f>
        <v>0</v>
      </c>
      <c r="T202" s="4" t="n">
        <f aca="false">IF(G202&lt;=0,"n/a",ROUND((I202+O202)/G202,0))</f>
        <v>0</v>
      </c>
      <c r="U202" s="4" t="s">
        <v>437</v>
      </c>
      <c r="V202" s="4" t="s">
        <v>446</v>
      </c>
    </row>
    <row r="203" customFormat="false" ht="15" hidden="false" customHeight="false" outlineLevel="0" collapsed="false">
      <c r="A203" s="4" t="s">
        <v>760</v>
      </c>
      <c r="B203" s="4" t="s">
        <v>761</v>
      </c>
      <c r="C203" s="4" t="s">
        <v>762</v>
      </c>
      <c r="D203" s="4" t="n">
        <v>0</v>
      </c>
      <c r="E203" s="4" t="n">
        <v>2</v>
      </c>
      <c r="F203" s="6" t="n">
        <f aca="false">IF((D203+E203)=0,0,E203/(D203+E203))</f>
        <v>1</v>
      </c>
      <c r="G203" s="4" t="n">
        <v>0.13</v>
      </c>
      <c r="H203" s="4" t="n">
        <v>6</v>
      </c>
      <c r="I203" s="4" t="n">
        <v>0</v>
      </c>
      <c r="J203" s="4" t="n">
        <v>186</v>
      </c>
      <c r="K203" s="4" t="n">
        <f aca="false">IF(G203&lt;=0,"n/a",ROUND(I203/G203,0))</f>
        <v>0</v>
      </c>
      <c r="L203" s="4" t="n">
        <v>6</v>
      </c>
      <c r="M203" s="4" t="n">
        <v>21</v>
      </c>
      <c r="N203" s="4" t="n">
        <v>0</v>
      </c>
      <c r="O203" s="4" t="n">
        <v>0</v>
      </c>
      <c r="P203" s="4" t="n">
        <v>0</v>
      </c>
      <c r="Q203" s="4" t="n">
        <f aca="false">O203+P203</f>
        <v>0</v>
      </c>
      <c r="R203" s="4" t="n">
        <v>0</v>
      </c>
      <c r="S203" s="4" t="n">
        <f aca="false">MAX(0,Q203-J203)</f>
        <v>0</v>
      </c>
      <c r="T203" s="4" t="n">
        <f aca="false">IF(G203&lt;=0,"n/a",ROUND((I203+O203)/G203,0))</f>
        <v>0</v>
      </c>
      <c r="U203" s="4" t="s">
        <v>437</v>
      </c>
      <c r="V203" s="4" t="s">
        <v>446</v>
      </c>
    </row>
    <row r="204" customFormat="false" ht="15" hidden="false" customHeight="false" outlineLevel="0" collapsed="false">
      <c r="A204" s="4" t="s">
        <v>763</v>
      </c>
      <c r="B204" s="4" t="s">
        <v>764</v>
      </c>
      <c r="C204" s="4" t="s">
        <v>765</v>
      </c>
      <c r="D204" s="4" t="n">
        <v>0</v>
      </c>
      <c r="E204" s="4" t="n">
        <v>16</v>
      </c>
      <c r="F204" s="6" t="n">
        <f aca="false">IF((D204+E204)=0,0,E204/(D204+E204))</f>
        <v>1</v>
      </c>
      <c r="G204" s="4" t="n">
        <v>1.07</v>
      </c>
      <c r="H204" s="4" t="n">
        <v>48</v>
      </c>
      <c r="I204" s="4" t="n">
        <v>0</v>
      </c>
      <c r="J204" s="4" t="n">
        <v>147</v>
      </c>
      <c r="K204" s="4" t="n">
        <f aca="false">IF(G204&lt;=0,"n/a",ROUND(I204/G204,0))</f>
        <v>0</v>
      </c>
      <c r="L204" s="4" t="n">
        <v>48</v>
      </c>
      <c r="M204" s="4" t="n">
        <v>30</v>
      </c>
      <c r="N204" s="4" t="n">
        <v>18</v>
      </c>
      <c r="O204" s="4" t="n">
        <v>0</v>
      </c>
      <c r="P204" s="4" t="n">
        <v>0</v>
      </c>
      <c r="Q204" s="4" t="n">
        <f aca="false">O204+P204</f>
        <v>0</v>
      </c>
      <c r="R204" s="4" t="n">
        <v>0</v>
      </c>
      <c r="S204" s="4" t="n">
        <f aca="false">MAX(0,Q204-J204)</f>
        <v>0</v>
      </c>
      <c r="T204" s="4" t="n">
        <f aca="false">IF(G204&lt;=0,"n/a",ROUND((I204+O204)/G204,0))</f>
        <v>0</v>
      </c>
      <c r="U204" s="4" t="s">
        <v>437</v>
      </c>
      <c r="V204" s="4" t="s">
        <v>442</v>
      </c>
    </row>
    <row r="205" customFormat="false" ht="15" hidden="false" customHeight="false" outlineLevel="0" collapsed="false">
      <c r="A205" s="4" t="s">
        <v>766</v>
      </c>
      <c r="B205" s="4" t="s">
        <v>767</v>
      </c>
      <c r="C205" s="4" t="s">
        <v>768</v>
      </c>
      <c r="D205" s="4" t="n">
        <v>0</v>
      </c>
      <c r="E205" s="4" t="n">
        <v>1</v>
      </c>
      <c r="F205" s="6" t="n">
        <f aca="false">IF((D205+E205)=0,0,E205/(D205+E205))</f>
        <v>1</v>
      </c>
      <c r="G205" s="4" t="n">
        <v>0.07</v>
      </c>
      <c r="H205" s="4" t="n">
        <v>3</v>
      </c>
      <c r="I205" s="4" t="n">
        <v>0</v>
      </c>
      <c r="J205" s="4" t="n">
        <v>192</v>
      </c>
      <c r="K205" s="4" t="n">
        <f aca="false">IF(G205&lt;=0,"n/a",ROUND(I205/G205,0))</f>
        <v>0</v>
      </c>
      <c r="L205" s="4" t="n">
        <v>3</v>
      </c>
      <c r="M205" s="4" t="n">
        <v>21</v>
      </c>
      <c r="N205" s="4" t="n">
        <v>0</v>
      </c>
      <c r="O205" s="4" t="n">
        <v>0</v>
      </c>
      <c r="P205" s="4" t="n">
        <v>0</v>
      </c>
      <c r="Q205" s="4" t="n">
        <f aca="false">O205+P205</f>
        <v>0</v>
      </c>
      <c r="R205" s="4" t="n">
        <v>0</v>
      </c>
      <c r="S205" s="4" t="n">
        <f aca="false">MAX(0,Q205-J205)</f>
        <v>0</v>
      </c>
      <c r="T205" s="4" t="n">
        <f aca="false">IF(G205&lt;=0,"n/a",ROUND((I205+O205)/G205,0))</f>
        <v>0</v>
      </c>
      <c r="U205" s="4" t="s">
        <v>437</v>
      </c>
      <c r="V205" s="4" t="s">
        <v>446</v>
      </c>
    </row>
    <row r="206" customFormat="false" ht="15" hidden="false" customHeight="false" outlineLevel="0" collapsed="false">
      <c r="A206" s="4" t="s">
        <v>769</v>
      </c>
      <c r="B206" s="4" t="s">
        <v>770</v>
      </c>
      <c r="C206" s="4" t="s">
        <v>771</v>
      </c>
      <c r="D206" s="4" t="n">
        <v>2</v>
      </c>
      <c r="E206" s="4" t="n">
        <v>11</v>
      </c>
      <c r="F206" s="6" t="n">
        <f aca="false">IF((D206+E206)=0,0,E206/(D206+E206))</f>
        <v>0.846153846153846</v>
      </c>
      <c r="G206" s="4" t="n">
        <v>0.87</v>
      </c>
      <c r="H206" s="4" t="n">
        <v>39</v>
      </c>
      <c r="I206" s="4" t="n">
        <v>6</v>
      </c>
      <c r="J206" s="4" t="n">
        <v>88</v>
      </c>
      <c r="K206" s="4" t="n">
        <f aca="false">IF(G206&lt;=0,"n/a",ROUND(I206/G206,0))</f>
        <v>7</v>
      </c>
      <c r="L206" s="4" t="n">
        <v>35</v>
      </c>
      <c r="M206" s="4" t="n">
        <v>21.3</v>
      </c>
      <c r="N206" s="4" t="n">
        <v>13.7</v>
      </c>
      <c r="O206" s="4" t="n">
        <v>0</v>
      </c>
      <c r="P206" s="4" t="n">
        <v>0</v>
      </c>
      <c r="Q206" s="4" t="n">
        <f aca="false">O206+P206</f>
        <v>0</v>
      </c>
      <c r="R206" s="4" t="n">
        <v>0</v>
      </c>
      <c r="S206" s="4" t="n">
        <f aca="false">MAX(0,Q206-J206)</f>
        <v>0</v>
      </c>
      <c r="T206" s="4" t="n">
        <f aca="false">IF(G206&lt;=0,"n/a",ROUND((I206+O206)/G206,0))</f>
        <v>7</v>
      </c>
      <c r="U206" s="4" t="s">
        <v>437</v>
      </c>
      <c r="V206" s="4" t="s">
        <v>442</v>
      </c>
    </row>
    <row r="207" customFormat="false" ht="15" hidden="false" customHeight="false" outlineLevel="0" collapsed="false">
      <c r="A207" s="4" t="s">
        <v>321</v>
      </c>
      <c r="B207" s="4" t="s">
        <v>322</v>
      </c>
      <c r="C207" s="4" t="s">
        <v>323</v>
      </c>
      <c r="D207" s="4" t="n">
        <v>0</v>
      </c>
      <c r="E207" s="4" t="n">
        <v>3</v>
      </c>
      <c r="F207" s="6" t="n">
        <f aca="false">IF((D207+E207)=0,0,E207/(D207+E207))</f>
        <v>1</v>
      </c>
      <c r="G207" s="4" t="n">
        <v>0.2</v>
      </c>
      <c r="H207" s="4" t="n">
        <v>9</v>
      </c>
      <c r="I207" s="4" t="n">
        <v>0</v>
      </c>
      <c r="J207" s="4" t="n">
        <v>97</v>
      </c>
      <c r="K207" s="4" t="n">
        <f aca="false">IF(G207&lt;=0,"n/a",ROUND(I207/G207,0))</f>
        <v>0</v>
      </c>
      <c r="L207" s="4" t="n">
        <v>9</v>
      </c>
      <c r="M207" s="4" t="n">
        <v>0</v>
      </c>
      <c r="N207" s="4" t="n">
        <v>9</v>
      </c>
      <c r="O207" s="4" t="n">
        <v>2</v>
      </c>
      <c r="P207" s="4" t="n">
        <v>7</v>
      </c>
      <c r="Q207" s="4" t="n">
        <f aca="false">O207+P207</f>
        <v>9</v>
      </c>
      <c r="R207" s="4" t="n">
        <v>0</v>
      </c>
      <c r="S207" s="4" t="n">
        <f aca="false">MAX(0,Q207-J207)</f>
        <v>0</v>
      </c>
      <c r="T207" s="4" t="n">
        <f aca="false">IF(G207&lt;=0,"n/a",ROUND((I207+O207)/G207,0))</f>
        <v>10</v>
      </c>
      <c r="U207" s="4" t="s">
        <v>437</v>
      </c>
      <c r="V207" s="4" t="s">
        <v>438</v>
      </c>
    </row>
    <row r="208" customFormat="false" ht="15" hidden="false" customHeight="false" outlineLevel="0" collapsed="false">
      <c r="A208" s="4" t="s">
        <v>772</v>
      </c>
      <c r="B208" s="4" t="s">
        <v>773</v>
      </c>
      <c r="C208" s="4" t="s">
        <v>774</v>
      </c>
      <c r="D208" s="4" t="n">
        <v>0</v>
      </c>
      <c r="E208" s="4" t="n">
        <v>1</v>
      </c>
      <c r="F208" s="6" t="n">
        <f aca="false">IF((D208+E208)=0,0,E208/(D208+E208))</f>
        <v>1</v>
      </c>
      <c r="G208" s="4" t="n">
        <v>0.07</v>
      </c>
      <c r="H208" s="4" t="n">
        <v>3</v>
      </c>
      <c r="I208" s="4" t="n">
        <v>0</v>
      </c>
      <c r="J208" s="4" t="n">
        <v>99</v>
      </c>
      <c r="K208" s="4" t="n">
        <f aca="false">IF(G208&lt;=0,"n/a",ROUND(I208/G208,0))</f>
        <v>0</v>
      </c>
      <c r="L208" s="4" t="n">
        <v>3</v>
      </c>
      <c r="M208" s="4" t="n">
        <v>0</v>
      </c>
      <c r="N208" s="4" t="n">
        <v>3</v>
      </c>
      <c r="O208" s="4" t="n">
        <v>0</v>
      </c>
      <c r="P208" s="4" t="n">
        <v>0</v>
      </c>
      <c r="Q208" s="4" t="n">
        <f aca="false">O208+P208</f>
        <v>0</v>
      </c>
      <c r="R208" s="4" t="n">
        <v>0</v>
      </c>
      <c r="S208" s="4" t="n">
        <f aca="false">MAX(0,Q208-J208)</f>
        <v>0</v>
      </c>
      <c r="T208" s="4" t="n">
        <f aca="false">IF(G208&lt;=0,"n/a",ROUND((I208+O208)/G208,0))</f>
        <v>0</v>
      </c>
      <c r="U208" s="4" t="s">
        <v>437</v>
      </c>
      <c r="V208" s="4" t="s">
        <v>442</v>
      </c>
    </row>
    <row r="209" customFormat="false" ht="15" hidden="false" customHeight="false" outlineLevel="0" collapsed="false">
      <c r="A209" s="4" t="s">
        <v>775</v>
      </c>
      <c r="B209" s="4" t="s">
        <v>776</v>
      </c>
      <c r="C209" s="4" t="s">
        <v>777</v>
      </c>
      <c r="D209" s="4" t="n">
        <v>0</v>
      </c>
      <c r="E209" s="4" t="n">
        <v>1</v>
      </c>
      <c r="F209" s="6" t="n">
        <f aca="false">IF((D209+E209)=0,0,E209/(D209+E209))</f>
        <v>1</v>
      </c>
      <c r="G209" s="4" t="n">
        <v>0.07</v>
      </c>
      <c r="H209" s="4" t="n">
        <v>3</v>
      </c>
      <c r="I209" s="4" t="n">
        <v>0</v>
      </c>
      <c r="J209" s="4" t="n">
        <v>99</v>
      </c>
      <c r="K209" s="4" t="n">
        <f aca="false">IF(G209&lt;=0,"n/a",ROUND(I209/G209,0))</f>
        <v>0</v>
      </c>
      <c r="L209" s="4" t="n">
        <v>3</v>
      </c>
      <c r="M209" s="4" t="n">
        <v>0</v>
      </c>
      <c r="N209" s="4" t="n">
        <v>3</v>
      </c>
      <c r="O209" s="4" t="n">
        <v>0</v>
      </c>
      <c r="P209" s="4" t="n">
        <v>0</v>
      </c>
      <c r="Q209" s="4" t="n">
        <f aca="false">O209+P209</f>
        <v>0</v>
      </c>
      <c r="R209" s="4" t="n">
        <v>0</v>
      </c>
      <c r="S209" s="4" t="n">
        <f aca="false">MAX(0,Q209-J209)</f>
        <v>0</v>
      </c>
      <c r="T209" s="4" t="n">
        <f aca="false">IF(G209&lt;=0,"n/a",ROUND((I209+O209)/G209,0))</f>
        <v>0</v>
      </c>
      <c r="U209" s="4" t="s">
        <v>437</v>
      </c>
      <c r="V209" s="4" t="s">
        <v>442</v>
      </c>
    </row>
    <row r="210" customFormat="false" ht="15" hidden="false" customHeight="false" outlineLevel="0" collapsed="false">
      <c r="A210" s="4" t="s">
        <v>778</v>
      </c>
      <c r="B210" s="4" t="s">
        <v>779</v>
      </c>
      <c r="C210" s="4" t="s">
        <v>780</v>
      </c>
      <c r="D210" s="4" t="n">
        <v>0</v>
      </c>
      <c r="E210" s="4" t="n">
        <v>4</v>
      </c>
      <c r="F210" s="6" t="n">
        <f aca="false">IF((D210+E210)=0,0,E210/(D210+E210))</f>
        <v>1</v>
      </c>
      <c r="G210" s="4" t="n">
        <v>0.27</v>
      </c>
      <c r="H210" s="4" t="n">
        <v>12</v>
      </c>
      <c r="I210" s="4" t="n">
        <v>0</v>
      </c>
      <c r="J210" s="4" t="n">
        <v>96</v>
      </c>
      <c r="K210" s="4" t="n">
        <f aca="false">IF(G210&lt;=0,"n/a",ROUND(I210/G210,0))</f>
        <v>0</v>
      </c>
      <c r="L210" s="4" t="n">
        <v>12</v>
      </c>
      <c r="M210" s="4" t="n">
        <v>17</v>
      </c>
      <c r="N210" s="4" t="n">
        <v>0</v>
      </c>
      <c r="O210" s="4" t="n">
        <v>0</v>
      </c>
      <c r="P210" s="4" t="n">
        <v>0</v>
      </c>
      <c r="Q210" s="4" t="n">
        <f aca="false">O210+P210</f>
        <v>0</v>
      </c>
      <c r="R210" s="4" t="n">
        <v>0</v>
      </c>
      <c r="S210" s="4" t="n">
        <f aca="false">MAX(0,Q210-J210)</f>
        <v>0</v>
      </c>
      <c r="T210" s="4" t="n">
        <f aca="false">IF(G210&lt;=0,"n/a",ROUND((I210+O210)/G210,0))</f>
        <v>0</v>
      </c>
      <c r="U210" s="4" t="s">
        <v>437</v>
      </c>
      <c r="V210" s="4" t="s">
        <v>446</v>
      </c>
    </row>
    <row r="211" customFormat="false" ht="15" hidden="false" customHeight="false" outlineLevel="0" collapsed="false">
      <c r="A211" s="4" t="s">
        <v>781</v>
      </c>
      <c r="B211" s="4" t="s">
        <v>782</v>
      </c>
      <c r="C211" s="4" t="s">
        <v>783</v>
      </c>
      <c r="D211" s="4" t="n">
        <v>0</v>
      </c>
      <c r="E211" s="4" t="n">
        <v>1</v>
      </c>
      <c r="F211" s="6" t="n">
        <f aca="false">IF((D211+E211)=0,0,E211/(D211+E211))</f>
        <v>1</v>
      </c>
      <c r="G211" s="4" t="n">
        <v>0.07</v>
      </c>
      <c r="H211" s="4" t="n">
        <v>3</v>
      </c>
      <c r="I211" s="4" t="n">
        <v>0</v>
      </c>
      <c r="J211" s="4" t="n">
        <v>99</v>
      </c>
      <c r="K211" s="4" t="n">
        <f aca="false">IF(G211&lt;=0,"n/a",ROUND(I211/G211,0))</f>
        <v>0</v>
      </c>
      <c r="L211" s="4" t="n">
        <v>3</v>
      </c>
      <c r="M211" s="4" t="n">
        <v>0</v>
      </c>
      <c r="N211" s="4" t="n">
        <v>3</v>
      </c>
      <c r="O211" s="4" t="n">
        <v>0</v>
      </c>
      <c r="P211" s="4" t="n">
        <v>0</v>
      </c>
      <c r="Q211" s="4" t="n">
        <f aca="false">O211+P211</f>
        <v>0</v>
      </c>
      <c r="R211" s="4" t="n">
        <v>0</v>
      </c>
      <c r="S211" s="4" t="n">
        <f aca="false">MAX(0,Q211-J211)</f>
        <v>0</v>
      </c>
      <c r="T211" s="4" t="n">
        <f aca="false">IF(G211&lt;=0,"n/a",ROUND((I211+O211)/G211,0))</f>
        <v>0</v>
      </c>
      <c r="U211" s="4" t="s">
        <v>437</v>
      </c>
      <c r="V211" s="4" t="s">
        <v>442</v>
      </c>
    </row>
    <row r="212" customFormat="false" ht="15" hidden="false" customHeight="false" outlineLevel="0" collapsed="false">
      <c r="A212" s="4" t="s">
        <v>784</v>
      </c>
      <c r="B212" s="4" t="s">
        <v>785</v>
      </c>
      <c r="C212" s="4" t="s">
        <v>786</v>
      </c>
      <c r="D212" s="4" t="n">
        <v>0</v>
      </c>
      <c r="E212" s="4" t="n">
        <v>1</v>
      </c>
      <c r="F212" s="6" t="n">
        <f aca="false">IF((D212+E212)=0,0,E212/(D212+E212))</f>
        <v>1</v>
      </c>
      <c r="G212" s="4" t="n">
        <v>0.07</v>
      </c>
      <c r="H212" s="4" t="n">
        <v>3</v>
      </c>
      <c r="I212" s="4" t="n">
        <v>10</v>
      </c>
      <c r="J212" s="4" t="n">
        <v>99</v>
      </c>
      <c r="K212" s="4" t="n">
        <f aca="false">IF(G212&lt;=0,"n/a",ROUND(I212/G212,0))</f>
        <v>143</v>
      </c>
      <c r="L212" s="4" t="n">
        <v>3</v>
      </c>
      <c r="M212" s="4" t="n">
        <v>20.1</v>
      </c>
      <c r="N212" s="4" t="n">
        <v>0</v>
      </c>
      <c r="O212" s="4" t="n">
        <v>0</v>
      </c>
      <c r="P212" s="4" t="n">
        <v>0</v>
      </c>
      <c r="Q212" s="4" t="n">
        <f aca="false">O212+P212</f>
        <v>0</v>
      </c>
      <c r="R212" s="4" t="n">
        <v>0</v>
      </c>
      <c r="S212" s="4" t="n">
        <f aca="false">MAX(0,Q212-J212)</f>
        <v>0</v>
      </c>
      <c r="T212" s="4" t="n">
        <f aca="false">IF(G212&lt;=0,"n/a",ROUND((I212+O212)/G212,0))</f>
        <v>143</v>
      </c>
      <c r="U212" s="4" t="s">
        <v>437</v>
      </c>
      <c r="V212" s="4" t="s">
        <v>446</v>
      </c>
    </row>
    <row r="213" customFormat="false" ht="15" hidden="false" customHeight="false" outlineLevel="0" collapsed="false">
      <c r="A213" s="4" t="s">
        <v>787</v>
      </c>
      <c r="B213" s="4" t="s">
        <v>788</v>
      </c>
      <c r="C213" s="4" t="s">
        <v>789</v>
      </c>
      <c r="D213" s="4" t="n">
        <v>0</v>
      </c>
      <c r="E213" s="4" t="n">
        <v>1</v>
      </c>
      <c r="F213" s="6" t="n">
        <f aca="false">IF((D213+E213)=0,0,E213/(D213+E213))</f>
        <v>1</v>
      </c>
      <c r="G213" s="4" t="n">
        <v>0.07</v>
      </c>
      <c r="H213" s="4" t="n">
        <v>3</v>
      </c>
      <c r="I213" s="4" t="n">
        <v>14</v>
      </c>
      <c r="J213" s="4" t="n">
        <v>8</v>
      </c>
      <c r="K213" s="4" t="n">
        <f aca="false">IF(G213&lt;=0,"n/a",ROUND(I213/G213,0))</f>
        <v>200</v>
      </c>
      <c r="L213" s="4" t="n">
        <v>2</v>
      </c>
      <c r="M213" s="4" t="n">
        <v>0</v>
      </c>
      <c r="N213" s="4" t="n">
        <v>2</v>
      </c>
      <c r="O213" s="4" t="n">
        <v>0</v>
      </c>
      <c r="P213" s="4" t="n">
        <v>0</v>
      </c>
      <c r="Q213" s="4" t="n">
        <f aca="false">O213+P213</f>
        <v>0</v>
      </c>
      <c r="R213" s="4" t="n">
        <v>0</v>
      </c>
      <c r="S213" s="4" t="n">
        <f aca="false">MAX(0,Q213-J213)</f>
        <v>0</v>
      </c>
      <c r="T213" s="4" t="n">
        <f aca="false">IF(G213&lt;=0,"n/a",ROUND((I213+O213)/G213,0))</f>
        <v>200</v>
      </c>
      <c r="U213" s="4" t="s">
        <v>437</v>
      </c>
      <c r="V213" s="4" t="s">
        <v>442</v>
      </c>
    </row>
    <row r="214" customFormat="false" ht="15" hidden="false" customHeight="false" outlineLevel="0" collapsed="false">
      <c r="A214" s="4" t="s">
        <v>324</v>
      </c>
      <c r="B214" s="4" t="s">
        <v>325</v>
      </c>
      <c r="C214" s="4" t="s">
        <v>326</v>
      </c>
      <c r="D214" s="4" t="n">
        <v>0</v>
      </c>
      <c r="E214" s="4" t="n">
        <v>2</v>
      </c>
      <c r="F214" s="6" t="n">
        <f aca="false">IF((D214+E214)=0,0,E214/(D214+E214))</f>
        <v>1</v>
      </c>
      <c r="G214" s="4" t="n">
        <v>0.13</v>
      </c>
      <c r="H214" s="4" t="n">
        <v>6</v>
      </c>
      <c r="I214" s="4" t="n">
        <v>14</v>
      </c>
      <c r="J214" s="4" t="n">
        <v>7</v>
      </c>
      <c r="K214" s="4" t="n">
        <f aca="false">IF(G214&lt;=0,"n/a",ROUND(I214/G214,0))</f>
        <v>108</v>
      </c>
      <c r="L214" s="4" t="n">
        <v>5</v>
      </c>
      <c r="M214" s="4" t="n">
        <v>0</v>
      </c>
      <c r="N214" s="4" t="n">
        <v>5</v>
      </c>
      <c r="O214" s="4" t="n">
        <v>5</v>
      </c>
      <c r="P214" s="4" t="n">
        <v>0</v>
      </c>
      <c r="Q214" s="4" t="n">
        <f aca="false">O214+P214</f>
        <v>5</v>
      </c>
      <c r="R214" s="4" t="n">
        <v>0</v>
      </c>
      <c r="S214" s="4" t="n">
        <f aca="false">MAX(0,Q214-J214)</f>
        <v>0</v>
      </c>
      <c r="T214" s="4" t="n">
        <f aca="false">IF(G214&lt;=0,"n/a",ROUND((I214+O214)/G214,0))</f>
        <v>146</v>
      </c>
      <c r="U214" s="4" t="s">
        <v>437</v>
      </c>
      <c r="V214" s="4" t="s">
        <v>448</v>
      </c>
    </row>
    <row r="215" customFormat="false" ht="15" hidden="false" customHeight="false" outlineLevel="0" collapsed="false">
      <c r="A215" s="4" t="s">
        <v>790</v>
      </c>
      <c r="B215" s="4" t="s">
        <v>791</v>
      </c>
      <c r="C215" s="4" t="s">
        <v>792</v>
      </c>
      <c r="D215" s="4" t="n">
        <v>1</v>
      </c>
      <c r="E215" s="4" t="n">
        <v>0</v>
      </c>
      <c r="F215" s="6" t="n">
        <f aca="false">IF((D215+E215)=0,0,E215/(D215+E215))</f>
        <v>0</v>
      </c>
      <c r="G215" s="4" t="n">
        <v>0.07</v>
      </c>
      <c r="H215" s="4" t="n">
        <v>3</v>
      </c>
      <c r="I215" s="4" t="n">
        <v>10</v>
      </c>
      <c r="J215" s="4" t="n">
        <v>13</v>
      </c>
      <c r="K215" s="4" t="n">
        <f aca="false">IF(G215&lt;=0,"n/a",ROUND(I215/G215,0))</f>
        <v>143</v>
      </c>
      <c r="L215" s="4" t="n">
        <v>2</v>
      </c>
      <c r="M215" s="4" t="n">
        <v>0</v>
      </c>
      <c r="N215" s="4" t="n">
        <v>2</v>
      </c>
      <c r="O215" s="4" t="n">
        <v>0</v>
      </c>
      <c r="P215" s="4" t="n">
        <v>0</v>
      </c>
      <c r="Q215" s="4" t="n">
        <f aca="false">O215+P215</f>
        <v>0</v>
      </c>
      <c r="R215" s="4" t="n">
        <v>0</v>
      </c>
      <c r="S215" s="4" t="n">
        <f aca="false">MAX(0,Q215-J215)</f>
        <v>0</v>
      </c>
      <c r="T215" s="4" t="n">
        <f aca="false">IF(G215&lt;=0,"n/a",ROUND((I215+O215)/G215,0))</f>
        <v>143</v>
      </c>
      <c r="U215" s="4" t="s">
        <v>437</v>
      </c>
      <c r="V215" s="4" t="s">
        <v>442</v>
      </c>
    </row>
    <row r="216" customFormat="false" ht="15" hidden="false" customHeight="false" outlineLevel="0" collapsed="false">
      <c r="A216" s="4" t="s">
        <v>793</v>
      </c>
      <c r="B216" s="4" t="s">
        <v>794</v>
      </c>
      <c r="C216" s="4" t="s">
        <v>795</v>
      </c>
      <c r="D216" s="4" t="n">
        <v>0</v>
      </c>
      <c r="E216" s="4" t="n">
        <v>2</v>
      </c>
      <c r="F216" s="6" t="n">
        <f aca="false">IF((D216+E216)=0,0,E216/(D216+E216))</f>
        <v>1</v>
      </c>
      <c r="G216" s="4" t="n">
        <v>0.13</v>
      </c>
      <c r="H216" s="4" t="n">
        <v>6</v>
      </c>
      <c r="I216" s="4" t="n">
        <v>13</v>
      </c>
      <c r="J216" s="4" t="n">
        <v>103</v>
      </c>
      <c r="K216" s="4" t="n">
        <f aca="false">IF(G216&lt;=0,"n/a",ROUND(I216/G216,0))</f>
        <v>100</v>
      </c>
      <c r="L216" s="4" t="n">
        <v>5</v>
      </c>
      <c r="M216" s="4" t="n">
        <v>9.6</v>
      </c>
      <c r="N216" s="4" t="n">
        <v>0</v>
      </c>
      <c r="O216" s="4" t="n">
        <v>0</v>
      </c>
      <c r="P216" s="4" t="n">
        <v>0</v>
      </c>
      <c r="Q216" s="4" t="n">
        <f aca="false">O216+P216</f>
        <v>0</v>
      </c>
      <c r="R216" s="4" t="n">
        <v>0</v>
      </c>
      <c r="S216" s="4" t="n">
        <f aca="false">MAX(0,Q216-J216)</f>
        <v>0</v>
      </c>
      <c r="T216" s="4" t="n">
        <f aca="false">IF(G216&lt;=0,"n/a",ROUND((I216+O216)/G216,0))</f>
        <v>100</v>
      </c>
      <c r="U216" s="4" t="s">
        <v>437</v>
      </c>
      <c r="V216" s="4" t="s">
        <v>446</v>
      </c>
    </row>
    <row r="217" customFormat="false" ht="15" hidden="false" customHeight="false" outlineLevel="0" collapsed="false">
      <c r="A217" s="4" t="s">
        <v>796</v>
      </c>
      <c r="B217" s="4" t="s">
        <v>797</v>
      </c>
      <c r="C217" s="4" t="s">
        <v>798</v>
      </c>
      <c r="D217" s="4" t="n">
        <v>1</v>
      </c>
      <c r="E217" s="4" t="n">
        <v>0</v>
      </c>
      <c r="F217" s="6" t="n">
        <f aca="false">IF((D217+E217)=0,0,E217/(D217+E217))</f>
        <v>0</v>
      </c>
      <c r="G217" s="4" t="n">
        <v>0.07</v>
      </c>
      <c r="H217" s="4" t="n">
        <v>3</v>
      </c>
      <c r="I217" s="4" t="n">
        <v>13</v>
      </c>
      <c r="J217" s="4" t="n">
        <v>7</v>
      </c>
      <c r="K217" s="4" t="n">
        <f aca="false">IF(G217&lt;=0,"n/a",ROUND(I217/G217,0))</f>
        <v>186</v>
      </c>
      <c r="L217" s="4" t="n">
        <v>3</v>
      </c>
      <c r="M217" s="4" t="n">
        <v>0</v>
      </c>
      <c r="N217" s="4" t="n">
        <v>3</v>
      </c>
      <c r="O217" s="4" t="n">
        <v>0</v>
      </c>
      <c r="P217" s="4" t="n">
        <v>0</v>
      </c>
      <c r="Q217" s="4" t="n">
        <f aca="false">O217+P217</f>
        <v>0</v>
      </c>
      <c r="R217" s="4" t="n">
        <v>0</v>
      </c>
      <c r="S217" s="4" t="n">
        <f aca="false">MAX(0,Q217-J217)</f>
        <v>0</v>
      </c>
      <c r="T217" s="4" t="n">
        <f aca="false">IF(G217&lt;=0,"n/a",ROUND((I217+O217)/G217,0))</f>
        <v>186</v>
      </c>
      <c r="U217" s="4" t="s">
        <v>437</v>
      </c>
      <c r="V217" s="4" t="s">
        <v>442</v>
      </c>
    </row>
    <row r="218" customFormat="false" ht="15" hidden="false" customHeight="false" outlineLevel="0" collapsed="false">
      <c r="A218" s="4" t="s">
        <v>799</v>
      </c>
      <c r="B218" s="4" t="s">
        <v>800</v>
      </c>
      <c r="C218" s="4" t="s">
        <v>801</v>
      </c>
      <c r="D218" s="4" t="n">
        <v>1</v>
      </c>
      <c r="E218" s="4" t="n">
        <v>15</v>
      </c>
      <c r="F218" s="6" t="n">
        <f aca="false">IF((D218+E218)=0,0,E218/(D218+E218))</f>
        <v>0.9375</v>
      </c>
      <c r="G218" s="4" t="n">
        <v>1.07</v>
      </c>
      <c r="H218" s="4" t="n">
        <v>48</v>
      </c>
      <c r="I218" s="4" t="n">
        <v>16</v>
      </c>
      <c r="J218" s="4" t="n">
        <v>85</v>
      </c>
      <c r="K218" s="4" t="n">
        <f aca="false">IF(G218&lt;=0,"n/a",ROUND(I218/G218,0))</f>
        <v>15</v>
      </c>
      <c r="L218" s="4" t="n">
        <v>38</v>
      </c>
      <c r="M218" s="4" t="n">
        <v>0</v>
      </c>
      <c r="N218" s="4" t="n">
        <v>38</v>
      </c>
      <c r="O218" s="4" t="n">
        <v>0</v>
      </c>
      <c r="P218" s="4" t="n">
        <v>0</v>
      </c>
      <c r="Q218" s="4" t="n">
        <f aca="false">O218+P218</f>
        <v>0</v>
      </c>
      <c r="R218" s="4" t="n">
        <v>0</v>
      </c>
      <c r="S218" s="4" t="n">
        <f aca="false">MAX(0,Q218-J218)</f>
        <v>0</v>
      </c>
      <c r="T218" s="4" t="n">
        <f aca="false">IF(G218&lt;=0,"n/a",ROUND((I218+O218)/G218,0))</f>
        <v>15</v>
      </c>
      <c r="U218" s="4" t="s">
        <v>437</v>
      </c>
      <c r="V218" s="4" t="s">
        <v>442</v>
      </c>
    </row>
    <row r="219" customFormat="false" ht="15" hidden="false" customHeight="false" outlineLevel="0" collapsed="false">
      <c r="A219" s="4" t="s">
        <v>327</v>
      </c>
      <c r="B219" s="4" t="s">
        <v>328</v>
      </c>
      <c r="C219" s="4" t="s">
        <v>329</v>
      </c>
      <c r="D219" s="4" t="n">
        <v>0</v>
      </c>
      <c r="E219" s="4" t="n">
        <v>5</v>
      </c>
      <c r="F219" s="6" t="n">
        <f aca="false">IF((D219+E219)=0,0,E219/(D219+E219))</f>
        <v>1</v>
      </c>
      <c r="G219" s="4" t="n">
        <v>0.33</v>
      </c>
      <c r="H219" s="4" t="n">
        <v>15</v>
      </c>
      <c r="I219" s="4" t="n">
        <v>0</v>
      </c>
      <c r="J219" s="4" t="n">
        <v>95</v>
      </c>
      <c r="K219" s="4" t="n">
        <f aca="false">IF(G219&lt;=0,"n/a",ROUND(I219/G219,0))</f>
        <v>0</v>
      </c>
      <c r="L219" s="4" t="n">
        <v>15</v>
      </c>
      <c r="M219" s="4" t="n">
        <v>10</v>
      </c>
      <c r="N219" s="4" t="n">
        <v>5</v>
      </c>
      <c r="O219" s="4" t="n">
        <v>5</v>
      </c>
      <c r="P219" s="4" t="n">
        <v>0</v>
      </c>
      <c r="Q219" s="4" t="n">
        <f aca="false">O219+P219</f>
        <v>5</v>
      </c>
      <c r="R219" s="4" t="n">
        <v>0</v>
      </c>
      <c r="S219" s="4" t="n">
        <f aca="false">MAX(0,Q219-J219)</f>
        <v>0</v>
      </c>
      <c r="T219" s="4" t="n">
        <f aca="false">IF(G219&lt;=0,"n/a",ROUND((I219+O219)/G219,0))</f>
        <v>15</v>
      </c>
      <c r="U219" s="4" t="s">
        <v>437</v>
      </c>
      <c r="V219" s="4" t="s">
        <v>448</v>
      </c>
    </row>
    <row r="220" customFormat="false" ht="15" hidden="false" customHeight="false" outlineLevel="0" collapsed="false">
      <c r="A220" s="4" t="s">
        <v>802</v>
      </c>
      <c r="B220" s="4" t="s">
        <v>803</v>
      </c>
      <c r="C220" s="4" t="s">
        <v>804</v>
      </c>
      <c r="D220" s="4" t="n">
        <v>0</v>
      </c>
      <c r="E220" s="4" t="n">
        <v>11</v>
      </c>
      <c r="F220" s="6" t="n">
        <f aca="false">IF((D220+E220)=0,0,E220/(D220+E220))</f>
        <v>1</v>
      </c>
      <c r="G220" s="4" t="n">
        <v>0.73</v>
      </c>
      <c r="H220" s="4" t="n">
        <v>33</v>
      </c>
      <c r="I220" s="4" t="n">
        <v>0</v>
      </c>
      <c r="J220" s="4" t="n">
        <v>101</v>
      </c>
      <c r="K220" s="4" t="n">
        <f aca="false">IF(G220&lt;=0,"n/a",ROUND(I220/G220,0))</f>
        <v>0</v>
      </c>
      <c r="L220" s="4" t="n">
        <v>33</v>
      </c>
      <c r="M220" s="4" t="n">
        <v>0</v>
      </c>
      <c r="N220" s="4" t="n">
        <v>33</v>
      </c>
      <c r="O220" s="4" t="n">
        <v>0</v>
      </c>
      <c r="P220" s="4" t="n">
        <v>0</v>
      </c>
      <c r="Q220" s="4" t="n">
        <f aca="false">O220+P220</f>
        <v>0</v>
      </c>
      <c r="R220" s="4" t="n">
        <v>0</v>
      </c>
      <c r="S220" s="4" t="n">
        <f aca="false">MAX(0,Q220-J220)</f>
        <v>0</v>
      </c>
      <c r="T220" s="4" t="n">
        <f aca="false">IF(G220&lt;=0,"n/a",ROUND((I220+O220)/G220,0))</f>
        <v>0</v>
      </c>
      <c r="U220" s="4" t="s">
        <v>437</v>
      </c>
      <c r="V220" s="4" t="s">
        <v>442</v>
      </c>
    </row>
    <row r="221" customFormat="false" ht="15" hidden="false" customHeight="false" outlineLevel="0" collapsed="false">
      <c r="A221" s="4" t="s">
        <v>805</v>
      </c>
      <c r="B221" s="4" t="s">
        <v>806</v>
      </c>
      <c r="C221" s="4" t="s">
        <v>807</v>
      </c>
      <c r="D221" s="4" t="n">
        <v>0</v>
      </c>
      <c r="E221" s="4" t="n">
        <v>1</v>
      </c>
      <c r="F221" s="6" t="n">
        <f aca="false">IF((D221+E221)=0,0,E221/(D221+E221))</f>
        <v>1</v>
      </c>
      <c r="G221" s="4" t="n">
        <v>0.07</v>
      </c>
      <c r="H221" s="4" t="n">
        <v>3</v>
      </c>
      <c r="I221" s="4" t="n">
        <v>0</v>
      </c>
      <c r="J221" s="4" t="n">
        <v>110</v>
      </c>
      <c r="K221" s="4" t="n">
        <f aca="false">IF(G221&lt;=0,"n/a",ROUND(I221/G221,0))</f>
        <v>0</v>
      </c>
      <c r="L221" s="4" t="n">
        <v>3</v>
      </c>
      <c r="M221" s="4" t="n">
        <v>17</v>
      </c>
      <c r="N221" s="4" t="n">
        <v>0</v>
      </c>
      <c r="O221" s="4" t="n">
        <v>0</v>
      </c>
      <c r="P221" s="4" t="n">
        <v>0</v>
      </c>
      <c r="Q221" s="4" t="n">
        <f aca="false">O221+P221</f>
        <v>0</v>
      </c>
      <c r="R221" s="4" t="n">
        <v>0</v>
      </c>
      <c r="S221" s="4" t="n">
        <f aca="false">MAX(0,Q221-J221)</f>
        <v>0</v>
      </c>
      <c r="T221" s="4" t="n">
        <f aca="false">IF(G221&lt;=0,"n/a",ROUND((I221+O221)/G221,0))</f>
        <v>0</v>
      </c>
      <c r="U221" s="4" t="s">
        <v>437</v>
      </c>
      <c r="V221" s="4" t="s">
        <v>446</v>
      </c>
    </row>
    <row r="222" customFormat="false" ht="15" hidden="false" customHeight="false" outlineLevel="0" collapsed="false">
      <c r="A222" s="4" t="s">
        <v>808</v>
      </c>
      <c r="B222" s="4" t="s">
        <v>809</v>
      </c>
      <c r="C222" s="4" t="s">
        <v>810</v>
      </c>
      <c r="D222" s="4" t="n">
        <v>0</v>
      </c>
      <c r="E222" s="4" t="n">
        <v>9</v>
      </c>
      <c r="F222" s="6" t="n">
        <f aca="false">IF((D222+E222)=0,0,E222/(D222+E222))</f>
        <v>1</v>
      </c>
      <c r="G222" s="4" t="n">
        <v>0.6</v>
      </c>
      <c r="H222" s="4" t="n">
        <v>27</v>
      </c>
      <c r="I222" s="4" t="n">
        <v>0</v>
      </c>
      <c r="J222" s="4" t="n">
        <v>103</v>
      </c>
      <c r="K222" s="4" t="n">
        <f aca="false">IF(G222&lt;=0,"n/a",ROUND(I222/G222,0))</f>
        <v>0</v>
      </c>
      <c r="L222" s="4" t="n">
        <v>27</v>
      </c>
      <c r="M222" s="4" t="n">
        <v>10</v>
      </c>
      <c r="N222" s="4" t="n">
        <v>17</v>
      </c>
      <c r="O222" s="4" t="n">
        <v>0</v>
      </c>
      <c r="P222" s="4" t="n">
        <v>0</v>
      </c>
      <c r="Q222" s="4" t="n">
        <f aca="false">O222+P222</f>
        <v>0</v>
      </c>
      <c r="R222" s="4" t="n">
        <v>0</v>
      </c>
      <c r="S222" s="4" t="n">
        <f aca="false">MAX(0,Q222-J222)</f>
        <v>0</v>
      </c>
      <c r="T222" s="4" t="n">
        <f aca="false">IF(G222&lt;=0,"n/a",ROUND((I222+O222)/G222,0))</f>
        <v>0</v>
      </c>
      <c r="U222" s="4" t="s">
        <v>437</v>
      </c>
      <c r="V222" s="4" t="s">
        <v>442</v>
      </c>
    </row>
    <row r="223" customFormat="false" ht="15" hidden="false" customHeight="false" outlineLevel="0" collapsed="false">
      <c r="A223" s="4" t="s">
        <v>330</v>
      </c>
      <c r="B223" s="4" t="s">
        <v>331</v>
      </c>
      <c r="C223" s="4" t="s">
        <v>332</v>
      </c>
      <c r="D223" s="4" t="n">
        <v>0</v>
      </c>
      <c r="E223" s="4" t="n">
        <v>3</v>
      </c>
      <c r="F223" s="6" t="n">
        <f aca="false">IF((D223+E223)=0,0,E223/(D223+E223))</f>
        <v>1</v>
      </c>
      <c r="G223" s="4" t="n">
        <v>0.2</v>
      </c>
      <c r="H223" s="4" t="n">
        <v>9</v>
      </c>
      <c r="I223" s="4" t="n">
        <v>0</v>
      </c>
      <c r="J223" s="4" t="n">
        <v>109</v>
      </c>
      <c r="K223" s="4" t="n">
        <f aca="false">IF(G223&lt;=0,"n/a",ROUND(I223/G223,0))</f>
        <v>0</v>
      </c>
      <c r="L223" s="4" t="n">
        <v>9</v>
      </c>
      <c r="M223" s="4" t="n">
        <v>0</v>
      </c>
      <c r="N223" s="4" t="n">
        <v>9</v>
      </c>
      <c r="O223" s="4" t="n">
        <v>2</v>
      </c>
      <c r="P223" s="4" t="n">
        <v>7</v>
      </c>
      <c r="Q223" s="4" t="n">
        <f aca="false">O223+P223</f>
        <v>9</v>
      </c>
      <c r="R223" s="4" t="n">
        <v>0</v>
      </c>
      <c r="S223" s="4" t="n">
        <f aca="false">MAX(0,Q223-J223)</f>
        <v>0</v>
      </c>
      <c r="T223" s="4" t="n">
        <f aca="false">IF(G223&lt;=0,"n/a",ROUND((I223+O223)/G223,0))</f>
        <v>10</v>
      </c>
      <c r="U223" s="4" t="s">
        <v>437</v>
      </c>
      <c r="V223" s="4" t="s">
        <v>438</v>
      </c>
    </row>
    <row r="224" customFormat="false" ht="15" hidden="false" customHeight="false" outlineLevel="0" collapsed="false">
      <c r="A224" s="4" t="s">
        <v>811</v>
      </c>
      <c r="B224" s="4" t="s">
        <v>812</v>
      </c>
      <c r="C224" s="4" t="s">
        <v>813</v>
      </c>
      <c r="D224" s="4" t="n">
        <v>0</v>
      </c>
      <c r="E224" s="4" t="n">
        <v>1</v>
      </c>
      <c r="F224" s="6" t="n">
        <f aca="false">IF((D224+E224)=0,0,E224/(D224+E224))</f>
        <v>1</v>
      </c>
      <c r="G224" s="4" t="n">
        <v>0.07</v>
      </c>
      <c r="H224" s="4" t="n">
        <v>3</v>
      </c>
      <c r="I224" s="4" t="n">
        <v>0</v>
      </c>
      <c r="J224" s="4" t="n">
        <v>64</v>
      </c>
      <c r="K224" s="4" t="n">
        <f aca="false">IF(G224&lt;=0,"n/a",ROUND(I224/G224,0))</f>
        <v>0</v>
      </c>
      <c r="L224" s="4" t="n">
        <v>3</v>
      </c>
      <c r="M224" s="4" t="n">
        <v>0</v>
      </c>
      <c r="N224" s="4" t="n">
        <v>3</v>
      </c>
      <c r="O224" s="4" t="n">
        <v>0</v>
      </c>
      <c r="P224" s="4" t="n">
        <v>0</v>
      </c>
      <c r="Q224" s="4" t="n">
        <f aca="false">O224+P224</f>
        <v>0</v>
      </c>
      <c r="R224" s="4" t="n">
        <v>0</v>
      </c>
      <c r="S224" s="4" t="n">
        <f aca="false">MAX(0,Q224-J224)</f>
        <v>0</v>
      </c>
      <c r="T224" s="4" t="n">
        <f aca="false">IF(G224&lt;=0,"n/a",ROUND((I224+O224)/G224,0))</f>
        <v>0</v>
      </c>
      <c r="U224" s="4" t="s">
        <v>437</v>
      </c>
      <c r="V224" s="4" t="s">
        <v>442</v>
      </c>
    </row>
    <row r="225" customFormat="false" ht="15" hidden="false" customHeight="false" outlineLevel="0" collapsed="false">
      <c r="A225" s="4" t="s">
        <v>333</v>
      </c>
      <c r="B225" s="4" t="s">
        <v>334</v>
      </c>
      <c r="C225" s="4" t="s">
        <v>335</v>
      </c>
      <c r="D225" s="4" t="n">
        <v>0</v>
      </c>
      <c r="E225" s="4" t="n">
        <v>5</v>
      </c>
      <c r="F225" s="6" t="n">
        <f aca="false">IF((D225+E225)=0,0,E225/(D225+E225))</f>
        <v>1</v>
      </c>
      <c r="G225" s="4" t="n">
        <v>0.33</v>
      </c>
      <c r="H225" s="4" t="n">
        <v>15</v>
      </c>
      <c r="I225" s="4" t="n">
        <v>0</v>
      </c>
      <c r="J225" s="4" t="n">
        <v>107</v>
      </c>
      <c r="K225" s="4" t="n">
        <f aca="false">IF(G225&lt;=0,"n/a",ROUND(I225/G225,0))</f>
        <v>0</v>
      </c>
      <c r="L225" s="4" t="n">
        <v>15</v>
      </c>
      <c r="M225" s="4" t="n">
        <v>0</v>
      </c>
      <c r="N225" s="4" t="n">
        <v>15</v>
      </c>
      <c r="O225" s="4" t="n">
        <v>2</v>
      </c>
      <c r="P225" s="4" t="n">
        <v>13</v>
      </c>
      <c r="Q225" s="4" t="n">
        <f aca="false">O225+P225</f>
        <v>15</v>
      </c>
      <c r="R225" s="4" t="n">
        <v>0</v>
      </c>
      <c r="S225" s="4" t="n">
        <f aca="false">MAX(0,Q225-J225)</f>
        <v>0</v>
      </c>
      <c r="T225" s="4" t="n">
        <f aca="false">IF(G225&lt;=0,"n/a",ROUND((I225+O225)/G225,0))</f>
        <v>6</v>
      </c>
      <c r="U225" s="4" t="s">
        <v>437</v>
      </c>
      <c r="V225" s="4" t="s">
        <v>438</v>
      </c>
    </row>
    <row r="226" customFormat="false" ht="15" hidden="false" customHeight="false" outlineLevel="0" collapsed="false">
      <c r="A226" s="4" t="s">
        <v>336</v>
      </c>
      <c r="B226" s="4" t="s">
        <v>337</v>
      </c>
      <c r="C226" s="4" t="s">
        <v>338</v>
      </c>
      <c r="D226" s="4" t="n">
        <v>0</v>
      </c>
      <c r="E226" s="4" t="n">
        <v>8</v>
      </c>
      <c r="F226" s="6" t="n">
        <f aca="false">IF((D226+E226)=0,0,E226/(D226+E226))</f>
        <v>1</v>
      </c>
      <c r="G226" s="4" t="n">
        <v>0.53</v>
      </c>
      <c r="H226" s="4" t="n">
        <v>24</v>
      </c>
      <c r="I226" s="4" t="n">
        <v>0</v>
      </c>
      <c r="J226" s="4" t="n">
        <v>102</v>
      </c>
      <c r="K226" s="4" t="n">
        <f aca="false">IF(G226&lt;=0,"n/a",ROUND(I226/G226,0))</f>
        <v>0</v>
      </c>
      <c r="L226" s="4" t="n">
        <v>24</v>
      </c>
      <c r="M226" s="4" t="n">
        <v>20</v>
      </c>
      <c r="N226" s="4" t="n">
        <v>4</v>
      </c>
      <c r="O226" s="4" t="n">
        <v>4</v>
      </c>
      <c r="P226" s="4" t="n">
        <v>0</v>
      </c>
      <c r="Q226" s="4" t="n">
        <f aca="false">O226+P226</f>
        <v>4</v>
      </c>
      <c r="R226" s="4" t="n">
        <v>0</v>
      </c>
      <c r="S226" s="4" t="n">
        <f aca="false">MAX(0,Q226-J226)</f>
        <v>0</v>
      </c>
      <c r="T226" s="4" t="n">
        <f aca="false">IF(G226&lt;=0,"n/a",ROUND((I226+O226)/G226,0))</f>
        <v>8</v>
      </c>
      <c r="U226" s="4" t="s">
        <v>437</v>
      </c>
      <c r="V226" s="4" t="s">
        <v>448</v>
      </c>
    </row>
    <row r="227" customFormat="false" ht="15" hidden="false" customHeight="false" outlineLevel="0" collapsed="false">
      <c r="A227" s="4" t="s">
        <v>339</v>
      </c>
      <c r="B227" s="4" t="s">
        <v>340</v>
      </c>
      <c r="C227" s="4" t="s">
        <v>341</v>
      </c>
      <c r="D227" s="4" t="n">
        <v>0</v>
      </c>
      <c r="E227" s="4" t="n">
        <v>3</v>
      </c>
      <c r="F227" s="6" t="n">
        <f aca="false">IF((D227+E227)=0,0,E227/(D227+E227))</f>
        <v>1</v>
      </c>
      <c r="G227" s="4" t="n">
        <v>0.2</v>
      </c>
      <c r="H227" s="4" t="n">
        <v>9</v>
      </c>
      <c r="I227" s="4" t="n">
        <v>0</v>
      </c>
      <c r="J227" s="4" t="n">
        <v>109</v>
      </c>
      <c r="K227" s="4" t="n">
        <f aca="false">IF(G227&lt;=0,"n/a",ROUND(I227/G227,0))</f>
        <v>0</v>
      </c>
      <c r="L227" s="4" t="n">
        <v>9</v>
      </c>
      <c r="M227" s="4" t="n">
        <v>0</v>
      </c>
      <c r="N227" s="4" t="n">
        <v>9</v>
      </c>
      <c r="O227" s="4" t="n">
        <v>2</v>
      </c>
      <c r="P227" s="4" t="n">
        <v>7</v>
      </c>
      <c r="Q227" s="4" t="n">
        <f aca="false">O227+P227</f>
        <v>9</v>
      </c>
      <c r="R227" s="4" t="n">
        <v>0</v>
      </c>
      <c r="S227" s="4" t="n">
        <f aca="false">MAX(0,Q227-J227)</f>
        <v>0</v>
      </c>
      <c r="T227" s="4" t="n">
        <f aca="false">IF(G227&lt;=0,"n/a",ROUND((I227+O227)/G227,0))</f>
        <v>10</v>
      </c>
      <c r="U227" s="4" t="s">
        <v>437</v>
      </c>
      <c r="V227" s="4" t="s">
        <v>438</v>
      </c>
    </row>
    <row r="228" customFormat="false" ht="15" hidden="false" customHeight="false" outlineLevel="0" collapsed="false">
      <c r="A228" s="4" t="s">
        <v>342</v>
      </c>
      <c r="B228" s="4" t="s">
        <v>343</v>
      </c>
      <c r="C228" s="4" t="s">
        <v>344</v>
      </c>
      <c r="D228" s="4" t="n">
        <v>0</v>
      </c>
      <c r="E228" s="4" t="n">
        <v>2</v>
      </c>
      <c r="F228" s="6" t="n">
        <f aca="false">IF((D228+E228)=0,0,E228/(D228+E228))</f>
        <v>1</v>
      </c>
      <c r="G228" s="4" t="n">
        <v>0.13</v>
      </c>
      <c r="H228" s="4" t="n">
        <v>6</v>
      </c>
      <c r="I228" s="4" t="n">
        <v>0</v>
      </c>
      <c r="J228" s="4" t="n">
        <v>63</v>
      </c>
      <c r="K228" s="4" t="n">
        <f aca="false">IF(G228&lt;=0,"n/a",ROUND(I228/G228,0))</f>
        <v>0</v>
      </c>
      <c r="L228" s="4" t="n">
        <v>6</v>
      </c>
      <c r="M228" s="4" t="n">
        <v>0</v>
      </c>
      <c r="N228" s="4" t="n">
        <v>6</v>
      </c>
      <c r="O228" s="4" t="n">
        <v>2</v>
      </c>
      <c r="P228" s="4" t="n">
        <v>4</v>
      </c>
      <c r="Q228" s="4" t="n">
        <f aca="false">O228+P228</f>
        <v>6</v>
      </c>
      <c r="R228" s="4" t="n">
        <v>0</v>
      </c>
      <c r="S228" s="4" t="n">
        <f aca="false">MAX(0,Q228-J228)</f>
        <v>0</v>
      </c>
      <c r="T228" s="4" t="n">
        <f aca="false">IF(G228&lt;=0,"n/a",ROUND((I228+O228)/G228,0))</f>
        <v>15</v>
      </c>
      <c r="U228" s="4" t="s">
        <v>437</v>
      </c>
      <c r="V228" s="4" t="s">
        <v>438</v>
      </c>
    </row>
    <row r="229" customFormat="false" ht="15" hidden="false" customHeight="false" outlineLevel="0" collapsed="false">
      <c r="A229" s="4" t="s">
        <v>814</v>
      </c>
      <c r="B229" s="4" t="s">
        <v>815</v>
      </c>
      <c r="C229" s="4" t="s">
        <v>816</v>
      </c>
      <c r="D229" s="4" t="n">
        <v>0</v>
      </c>
      <c r="E229" s="4" t="n">
        <v>1</v>
      </c>
      <c r="F229" s="6" t="n">
        <f aca="false">IF((D229+E229)=0,0,E229/(D229+E229))</f>
        <v>1</v>
      </c>
      <c r="G229" s="4" t="n">
        <v>0.07</v>
      </c>
      <c r="H229" s="4" t="n">
        <v>3</v>
      </c>
      <c r="I229" s="4" t="n">
        <v>0</v>
      </c>
      <c r="J229" s="4" t="n">
        <v>64</v>
      </c>
      <c r="K229" s="4" t="n">
        <f aca="false">IF(G229&lt;=0,"n/a",ROUND(I229/G229,0))</f>
        <v>0</v>
      </c>
      <c r="L229" s="4" t="n">
        <v>3</v>
      </c>
      <c r="M229" s="4" t="n">
        <v>0</v>
      </c>
      <c r="N229" s="4" t="n">
        <v>3</v>
      </c>
      <c r="O229" s="4" t="n">
        <v>0</v>
      </c>
      <c r="P229" s="4" t="n">
        <v>0</v>
      </c>
      <c r="Q229" s="4" t="n">
        <f aca="false">O229+P229</f>
        <v>0</v>
      </c>
      <c r="R229" s="4" t="n">
        <v>0</v>
      </c>
      <c r="S229" s="4" t="n">
        <f aca="false">MAX(0,Q229-J229)</f>
        <v>0</v>
      </c>
      <c r="T229" s="4" t="n">
        <f aca="false">IF(G229&lt;=0,"n/a",ROUND((I229+O229)/G229,0))</f>
        <v>0</v>
      </c>
      <c r="U229" s="4" t="s">
        <v>437</v>
      </c>
      <c r="V229" s="4" t="s">
        <v>442</v>
      </c>
    </row>
    <row r="230" customFormat="false" ht="15" hidden="false" customHeight="false" outlineLevel="0" collapsed="false">
      <c r="A230" s="4" t="s">
        <v>817</v>
      </c>
      <c r="B230" s="4" t="s">
        <v>818</v>
      </c>
      <c r="C230" s="4" t="s">
        <v>819</v>
      </c>
      <c r="D230" s="4" t="n">
        <v>0</v>
      </c>
      <c r="E230" s="4" t="n">
        <v>1</v>
      </c>
      <c r="F230" s="6" t="n">
        <f aca="false">IF((D230+E230)=0,0,E230/(D230+E230))</f>
        <v>1</v>
      </c>
      <c r="G230" s="4" t="n">
        <v>0.07</v>
      </c>
      <c r="H230" s="4" t="n">
        <v>3</v>
      </c>
      <c r="I230" s="4" t="n">
        <v>0</v>
      </c>
      <c r="J230" s="4" t="n">
        <v>64</v>
      </c>
      <c r="K230" s="4" t="n">
        <f aca="false">IF(G230&lt;=0,"n/a",ROUND(I230/G230,0))</f>
        <v>0</v>
      </c>
      <c r="L230" s="4" t="n">
        <v>3</v>
      </c>
      <c r="M230" s="4" t="n">
        <v>0</v>
      </c>
      <c r="N230" s="4" t="n">
        <v>3</v>
      </c>
      <c r="O230" s="4" t="n">
        <v>0</v>
      </c>
      <c r="P230" s="4" t="n">
        <v>0</v>
      </c>
      <c r="Q230" s="4" t="n">
        <f aca="false">O230+P230</f>
        <v>0</v>
      </c>
      <c r="R230" s="4" t="n">
        <v>0</v>
      </c>
      <c r="S230" s="4" t="n">
        <f aca="false">MAX(0,Q230-J230)</f>
        <v>0</v>
      </c>
      <c r="T230" s="4" t="n">
        <f aca="false">IF(G230&lt;=0,"n/a",ROUND((I230+O230)/G230,0))</f>
        <v>0</v>
      </c>
      <c r="U230" s="4" t="s">
        <v>437</v>
      </c>
      <c r="V230" s="4" t="s">
        <v>442</v>
      </c>
    </row>
    <row r="231" customFormat="false" ht="15" hidden="false" customHeight="false" outlineLevel="0" collapsed="false">
      <c r="A231" s="4" t="s">
        <v>820</v>
      </c>
      <c r="B231" s="4" t="s">
        <v>821</v>
      </c>
      <c r="C231" s="4" t="s">
        <v>822</v>
      </c>
      <c r="D231" s="4" t="n">
        <v>0</v>
      </c>
      <c r="E231" s="4" t="n">
        <v>1</v>
      </c>
      <c r="F231" s="6" t="n">
        <f aca="false">IF((D231+E231)=0,0,E231/(D231+E231))</f>
        <v>1</v>
      </c>
      <c r="G231" s="4" t="n">
        <v>0.07</v>
      </c>
      <c r="H231" s="4" t="n">
        <v>3</v>
      </c>
      <c r="I231" s="4" t="n">
        <v>0</v>
      </c>
      <c r="J231" s="4" t="n">
        <v>64</v>
      </c>
      <c r="K231" s="4" t="n">
        <f aca="false">IF(G231&lt;=0,"n/a",ROUND(I231/G231,0))</f>
        <v>0</v>
      </c>
      <c r="L231" s="4" t="n">
        <v>3</v>
      </c>
      <c r="M231" s="4" t="n">
        <v>0</v>
      </c>
      <c r="N231" s="4" t="n">
        <v>3</v>
      </c>
      <c r="O231" s="4" t="n">
        <v>0</v>
      </c>
      <c r="P231" s="4" t="n">
        <v>0</v>
      </c>
      <c r="Q231" s="4" t="n">
        <f aca="false">O231+P231</f>
        <v>0</v>
      </c>
      <c r="R231" s="4" t="n">
        <v>0</v>
      </c>
      <c r="S231" s="4" t="n">
        <f aca="false">MAX(0,Q231-J231)</f>
        <v>0</v>
      </c>
      <c r="T231" s="4" t="n">
        <f aca="false">IF(G231&lt;=0,"n/a",ROUND((I231+O231)/G231,0))</f>
        <v>0</v>
      </c>
      <c r="U231" s="4" t="s">
        <v>437</v>
      </c>
      <c r="V231" s="4" t="s">
        <v>442</v>
      </c>
    </row>
    <row r="232" customFormat="false" ht="15" hidden="false" customHeight="false" outlineLevel="0" collapsed="false">
      <c r="A232" s="4" t="s">
        <v>823</v>
      </c>
      <c r="B232" s="4" t="s">
        <v>824</v>
      </c>
      <c r="C232" s="4" t="s">
        <v>825</v>
      </c>
      <c r="D232" s="4" t="n">
        <v>0</v>
      </c>
      <c r="E232" s="4" t="n">
        <v>1</v>
      </c>
      <c r="F232" s="6" t="n">
        <f aca="false">IF((D232+E232)=0,0,E232/(D232+E232))</f>
        <v>1</v>
      </c>
      <c r="G232" s="4" t="n">
        <v>0.07</v>
      </c>
      <c r="H232" s="4" t="n">
        <v>3</v>
      </c>
      <c r="I232" s="4" t="n">
        <v>0</v>
      </c>
      <c r="J232" s="4" t="n">
        <v>64</v>
      </c>
      <c r="K232" s="4" t="n">
        <f aca="false">IF(G232&lt;=0,"n/a",ROUND(I232/G232,0))</f>
        <v>0</v>
      </c>
      <c r="L232" s="4" t="n">
        <v>3</v>
      </c>
      <c r="M232" s="4" t="n">
        <v>0</v>
      </c>
      <c r="N232" s="4" t="n">
        <v>3</v>
      </c>
      <c r="O232" s="4" t="n">
        <v>0</v>
      </c>
      <c r="P232" s="4" t="n">
        <v>0</v>
      </c>
      <c r="Q232" s="4" t="n">
        <f aca="false">O232+P232</f>
        <v>0</v>
      </c>
      <c r="R232" s="4" t="n">
        <v>0</v>
      </c>
      <c r="S232" s="4" t="n">
        <f aca="false">MAX(0,Q232-J232)</f>
        <v>0</v>
      </c>
      <c r="T232" s="4" t="n">
        <f aca="false">IF(G232&lt;=0,"n/a",ROUND((I232+O232)/G232,0))</f>
        <v>0</v>
      </c>
      <c r="U232" s="4" t="s">
        <v>437</v>
      </c>
      <c r="V232" s="4" t="s">
        <v>442</v>
      </c>
    </row>
    <row r="233" customFormat="false" ht="15" hidden="false" customHeight="false" outlineLevel="0" collapsed="false">
      <c r="A233" s="4" t="s">
        <v>345</v>
      </c>
      <c r="B233" s="4" t="s">
        <v>346</v>
      </c>
      <c r="C233" s="4" t="s">
        <v>347</v>
      </c>
      <c r="D233" s="4" t="n">
        <v>0</v>
      </c>
      <c r="E233" s="4" t="n">
        <v>5</v>
      </c>
      <c r="F233" s="6" t="n">
        <f aca="false">IF((D233+E233)=0,0,E233/(D233+E233))</f>
        <v>1</v>
      </c>
      <c r="G233" s="4" t="n">
        <v>0.33</v>
      </c>
      <c r="H233" s="4" t="n">
        <v>15</v>
      </c>
      <c r="I233" s="4" t="n">
        <v>0</v>
      </c>
      <c r="J233" s="4" t="n">
        <v>106</v>
      </c>
      <c r="K233" s="4" t="n">
        <f aca="false">IF(G233&lt;=0,"n/a",ROUND(I233/G233,0))</f>
        <v>0</v>
      </c>
      <c r="L233" s="4" t="n">
        <v>15</v>
      </c>
      <c r="M233" s="4" t="n">
        <v>0</v>
      </c>
      <c r="N233" s="4" t="n">
        <v>15</v>
      </c>
      <c r="O233" s="4" t="n">
        <v>2</v>
      </c>
      <c r="P233" s="4" t="n">
        <v>13</v>
      </c>
      <c r="Q233" s="4" t="n">
        <f aca="false">O233+P233</f>
        <v>15</v>
      </c>
      <c r="R233" s="4" t="n">
        <v>0</v>
      </c>
      <c r="S233" s="4" t="n">
        <f aca="false">MAX(0,Q233-J233)</f>
        <v>0</v>
      </c>
      <c r="T233" s="4" t="n">
        <f aca="false">IF(G233&lt;=0,"n/a",ROUND((I233+O233)/G233,0))</f>
        <v>6</v>
      </c>
      <c r="U233" s="4" t="s">
        <v>437</v>
      </c>
      <c r="V233" s="4" t="s">
        <v>438</v>
      </c>
    </row>
    <row r="234" customFormat="false" ht="15" hidden="false" customHeight="false" outlineLevel="0" collapsed="false">
      <c r="A234" s="4" t="s">
        <v>826</v>
      </c>
      <c r="B234" s="4" t="s">
        <v>827</v>
      </c>
      <c r="C234" s="4" t="s">
        <v>828</v>
      </c>
      <c r="D234" s="4" t="n">
        <v>0</v>
      </c>
      <c r="E234" s="4" t="n">
        <v>1</v>
      </c>
      <c r="F234" s="6" t="n">
        <f aca="false">IF((D234+E234)=0,0,E234/(D234+E234))</f>
        <v>1</v>
      </c>
      <c r="G234" s="4" t="n">
        <v>0.07</v>
      </c>
      <c r="H234" s="4" t="n">
        <v>3</v>
      </c>
      <c r="I234" s="4" t="n">
        <v>0</v>
      </c>
      <c r="J234" s="4" t="n">
        <v>64</v>
      </c>
      <c r="K234" s="4" t="n">
        <f aca="false">IF(G234&lt;=0,"n/a",ROUND(I234/G234,0))</f>
        <v>0</v>
      </c>
      <c r="L234" s="4" t="n">
        <v>3</v>
      </c>
      <c r="M234" s="4" t="n">
        <v>0</v>
      </c>
      <c r="N234" s="4" t="n">
        <v>3</v>
      </c>
      <c r="O234" s="4" t="n">
        <v>0</v>
      </c>
      <c r="P234" s="4" t="n">
        <v>0</v>
      </c>
      <c r="Q234" s="4" t="n">
        <f aca="false">O234+P234</f>
        <v>0</v>
      </c>
      <c r="R234" s="4" t="n">
        <v>0</v>
      </c>
      <c r="S234" s="4" t="n">
        <f aca="false">MAX(0,Q234-J234)</f>
        <v>0</v>
      </c>
      <c r="T234" s="4" t="n">
        <f aca="false">IF(G234&lt;=0,"n/a",ROUND((I234+O234)/G234,0))</f>
        <v>0</v>
      </c>
      <c r="U234" s="4" t="s">
        <v>437</v>
      </c>
      <c r="V234" s="4" t="s">
        <v>442</v>
      </c>
    </row>
    <row r="235" customFormat="false" ht="15" hidden="false" customHeight="false" outlineLevel="0" collapsed="false">
      <c r="A235" s="4" t="s">
        <v>829</v>
      </c>
      <c r="B235" s="4" t="s">
        <v>830</v>
      </c>
      <c r="C235" s="4" t="s">
        <v>831</v>
      </c>
      <c r="D235" s="4" t="n">
        <v>0</v>
      </c>
      <c r="E235" s="4" t="n">
        <v>1</v>
      </c>
      <c r="F235" s="6" t="n">
        <f aca="false">IF((D235+E235)=0,0,E235/(D235+E235))</f>
        <v>1</v>
      </c>
      <c r="G235" s="4" t="n">
        <v>0.07</v>
      </c>
      <c r="H235" s="4" t="n">
        <v>3</v>
      </c>
      <c r="I235" s="4" t="n">
        <v>0</v>
      </c>
      <c r="J235" s="4" t="n">
        <v>64</v>
      </c>
      <c r="K235" s="4" t="n">
        <f aca="false">IF(G235&lt;=0,"n/a",ROUND(I235/G235,0))</f>
        <v>0</v>
      </c>
      <c r="L235" s="4" t="n">
        <v>3</v>
      </c>
      <c r="M235" s="4" t="n">
        <v>0</v>
      </c>
      <c r="N235" s="4" t="n">
        <v>3</v>
      </c>
      <c r="O235" s="4" t="n">
        <v>0</v>
      </c>
      <c r="P235" s="4" t="n">
        <v>0</v>
      </c>
      <c r="Q235" s="4" t="n">
        <f aca="false">O235+P235</f>
        <v>0</v>
      </c>
      <c r="R235" s="4" t="n">
        <v>0</v>
      </c>
      <c r="S235" s="4" t="n">
        <f aca="false">MAX(0,Q235-J235)</f>
        <v>0</v>
      </c>
      <c r="T235" s="4" t="n">
        <f aca="false">IF(G235&lt;=0,"n/a",ROUND((I235+O235)/G235,0))</f>
        <v>0</v>
      </c>
      <c r="U235" s="4" t="s">
        <v>437</v>
      </c>
      <c r="V235" s="4" t="s">
        <v>442</v>
      </c>
    </row>
    <row r="236" customFormat="false" ht="15" hidden="false" customHeight="false" outlineLevel="0" collapsed="false">
      <c r="A236" s="4" t="s">
        <v>348</v>
      </c>
      <c r="B236" s="4" t="s">
        <v>349</v>
      </c>
      <c r="C236" s="4" t="s">
        <v>350</v>
      </c>
      <c r="D236" s="4" t="n">
        <v>0</v>
      </c>
      <c r="E236" s="4" t="n">
        <v>2</v>
      </c>
      <c r="F236" s="6" t="n">
        <f aca="false">IF((D236+E236)=0,0,E236/(D236+E236))</f>
        <v>1</v>
      </c>
      <c r="G236" s="4" t="n">
        <v>0.13</v>
      </c>
      <c r="H236" s="4" t="n">
        <v>6</v>
      </c>
      <c r="I236" s="4" t="n">
        <v>0</v>
      </c>
      <c r="J236" s="4" t="n">
        <v>63</v>
      </c>
      <c r="K236" s="4" t="n">
        <f aca="false">IF(G236&lt;=0,"n/a",ROUND(I236/G236,0))</f>
        <v>0</v>
      </c>
      <c r="L236" s="4" t="n">
        <v>6</v>
      </c>
      <c r="M236" s="4" t="n">
        <v>0</v>
      </c>
      <c r="N236" s="4" t="n">
        <v>6</v>
      </c>
      <c r="O236" s="4" t="n">
        <v>5</v>
      </c>
      <c r="P236" s="4" t="n">
        <v>0</v>
      </c>
      <c r="Q236" s="4" t="n">
        <f aca="false">O236+P236</f>
        <v>5</v>
      </c>
      <c r="R236" s="4" t="n">
        <v>1</v>
      </c>
      <c r="S236" s="4" t="n">
        <f aca="false">MAX(0,Q236-J236)</f>
        <v>0</v>
      </c>
      <c r="T236" s="4" t="n">
        <f aca="false">IF(G236&lt;=0,"n/a",ROUND((I236+O236)/G236,0))</f>
        <v>38</v>
      </c>
      <c r="U236" s="4" t="s">
        <v>437</v>
      </c>
      <c r="V236" s="4" t="s">
        <v>832</v>
      </c>
    </row>
    <row r="237" customFormat="false" ht="15" hidden="false" customHeight="false" outlineLevel="0" collapsed="false">
      <c r="A237" s="4" t="s">
        <v>833</v>
      </c>
      <c r="B237" s="4" t="s">
        <v>834</v>
      </c>
      <c r="C237" s="4" t="s">
        <v>835</v>
      </c>
      <c r="D237" s="4" t="n">
        <v>0</v>
      </c>
      <c r="E237" s="4" t="n">
        <v>1</v>
      </c>
      <c r="F237" s="6" t="n">
        <f aca="false">IF((D237+E237)=0,0,E237/(D237+E237))</f>
        <v>1</v>
      </c>
      <c r="G237" s="4" t="n">
        <v>0.07</v>
      </c>
      <c r="H237" s="4" t="n">
        <v>3</v>
      </c>
      <c r="I237" s="4" t="n">
        <v>0</v>
      </c>
      <c r="J237" s="4" t="n">
        <v>111</v>
      </c>
      <c r="K237" s="4" t="n">
        <f aca="false">IF(G237&lt;=0,"n/a",ROUND(I237/G237,0))</f>
        <v>0</v>
      </c>
      <c r="L237" s="4" t="n">
        <v>3</v>
      </c>
      <c r="M237" s="4" t="n">
        <v>12</v>
      </c>
      <c r="N237" s="4" t="n">
        <v>0</v>
      </c>
      <c r="O237" s="4" t="n">
        <v>0</v>
      </c>
      <c r="P237" s="4" t="n">
        <v>0</v>
      </c>
      <c r="Q237" s="4" t="n">
        <f aca="false">O237+P237</f>
        <v>0</v>
      </c>
      <c r="R237" s="4" t="n">
        <v>0</v>
      </c>
      <c r="S237" s="4" t="n">
        <f aca="false">MAX(0,Q237-J237)</f>
        <v>0</v>
      </c>
      <c r="T237" s="4" t="n">
        <f aca="false">IF(G237&lt;=0,"n/a",ROUND((I237+O237)/G237,0))</f>
        <v>0</v>
      </c>
      <c r="U237" s="4" t="s">
        <v>437</v>
      </c>
      <c r="V237" s="4" t="s">
        <v>446</v>
      </c>
    </row>
    <row r="238" customFormat="false" ht="15" hidden="false" customHeight="false" outlineLevel="0" collapsed="false">
      <c r="A238" s="4" t="s">
        <v>351</v>
      </c>
      <c r="B238" s="4" t="s">
        <v>352</v>
      </c>
      <c r="C238" s="4" t="s">
        <v>353</v>
      </c>
      <c r="D238" s="4" t="n">
        <v>0</v>
      </c>
      <c r="E238" s="4" t="n">
        <v>2</v>
      </c>
      <c r="F238" s="6" t="n">
        <f aca="false">IF((D238+E238)=0,0,E238/(D238+E238))</f>
        <v>1</v>
      </c>
      <c r="G238" s="4" t="n">
        <v>0.13</v>
      </c>
      <c r="H238" s="4" t="n">
        <v>6</v>
      </c>
      <c r="I238" s="4" t="n">
        <v>0</v>
      </c>
      <c r="J238" s="4" t="n">
        <v>110</v>
      </c>
      <c r="K238" s="4" t="n">
        <f aca="false">IF(G238&lt;=0,"n/a",ROUND(I238/G238,0))</f>
        <v>0</v>
      </c>
      <c r="L238" s="4" t="n">
        <v>6</v>
      </c>
      <c r="M238" s="4" t="n">
        <v>0</v>
      </c>
      <c r="N238" s="4" t="n">
        <v>6</v>
      </c>
      <c r="O238" s="4" t="n">
        <v>6</v>
      </c>
      <c r="P238" s="4" t="n">
        <v>0</v>
      </c>
      <c r="Q238" s="4" t="n">
        <f aca="false">O238+P238</f>
        <v>6</v>
      </c>
      <c r="R238" s="4" t="n">
        <v>0</v>
      </c>
      <c r="S238" s="4" t="n">
        <f aca="false">MAX(0,Q238-J238)</f>
        <v>0</v>
      </c>
      <c r="T238" s="4" t="n">
        <f aca="false">IF(G238&lt;=0,"n/a",ROUND((I238+O238)/G238,0))</f>
        <v>46</v>
      </c>
      <c r="U238" s="4" t="s">
        <v>437</v>
      </c>
      <c r="V238" s="4" t="s">
        <v>448</v>
      </c>
    </row>
    <row r="239" customFormat="false" ht="15" hidden="false" customHeight="false" outlineLevel="0" collapsed="false">
      <c r="A239" s="4" t="s">
        <v>836</v>
      </c>
      <c r="B239" s="4" t="s">
        <v>837</v>
      </c>
      <c r="C239" s="4" t="s">
        <v>838</v>
      </c>
      <c r="D239" s="4" t="n">
        <v>0</v>
      </c>
      <c r="E239" s="4" t="n">
        <v>3</v>
      </c>
      <c r="F239" s="6" t="n">
        <f aca="false">IF((D239+E239)=0,0,E239/(D239+E239))</f>
        <v>1</v>
      </c>
      <c r="G239" s="4" t="n">
        <v>0.2</v>
      </c>
      <c r="H239" s="4" t="n">
        <v>9</v>
      </c>
      <c r="I239" s="4" t="n">
        <v>0</v>
      </c>
      <c r="J239" s="4" t="n">
        <v>108</v>
      </c>
      <c r="K239" s="4" t="n">
        <f aca="false">IF(G239&lt;=0,"n/a",ROUND(I239/G239,0))</f>
        <v>0</v>
      </c>
      <c r="L239" s="4" t="n">
        <v>9</v>
      </c>
      <c r="M239" s="4" t="n">
        <v>10</v>
      </c>
      <c r="N239" s="4" t="n">
        <v>0</v>
      </c>
      <c r="O239" s="4" t="n">
        <v>0</v>
      </c>
      <c r="P239" s="4" t="n">
        <v>0</v>
      </c>
      <c r="Q239" s="4" t="n">
        <f aca="false">O239+P239</f>
        <v>0</v>
      </c>
      <c r="R239" s="4" t="n">
        <v>0</v>
      </c>
      <c r="S239" s="4" t="n">
        <f aca="false">MAX(0,Q239-J239)</f>
        <v>0</v>
      </c>
      <c r="T239" s="4" t="n">
        <f aca="false">IF(G239&lt;=0,"n/a",ROUND((I239+O239)/G239,0))</f>
        <v>0</v>
      </c>
      <c r="U239" s="4" t="s">
        <v>437</v>
      </c>
      <c r="V239" s="4" t="s">
        <v>446</v>
      </c>
    </row>
    <row r="240" customFormat="false" ht="15" hidden="false" customHeight="false" outlineLevel="0" collapsed="false">
      <c r="A240" s="4" t="s">
        <v>839</v>
      </c>
      <c r="B240" s="4" t="s">
        <v>840</v>
      </c>
      <c r="C240" s="4" t="s">
        <v>841</v>
      </c>
      <c r="D240" s="4" t="n">
        <v>0</v>
      </c>
      <c r="E240" s="4" t="n">
        <v>1</v>
      </c>
      <c r="F240" s="6" t="n">
        <f aca="false">IF((D240+E240)=0,0,E240/(D240+E240))</f>
        <v>1</v>
      </c>
      <c r="G240" s="4" t="n">
        <v>0.07</v>
      </c>
      <c r="H240" s="4" t="n">
        <v>3</v>
      </c>
      <c r="I240" s="4" t="n">
        <v>0</v>
      </c>
      <c r="J240" s="4" t="n">
        <v>110</v>
      </c>
      <c r="K240" s="4" t="n">
        <f aca="false">IF(G240&lt;=0,"n/a",ROUND(I240/G240,0))</f>
        <v>0</v>
      </c>
      <c r="L240" s="4" t="n">
        <v>3</v>
      </c>
      <c r="M240" s="4" t="n">
        <v>0</v>
      </c>
      <c r="N240" s="4" t="n">
        <v>3</v>
      </c>
      <c r="O240" s="4" t="n">
        <v>0</v>
      </c>
      <c r="P240" s="4" t="n">
        <v>0</v>
      </c>
      <c r="Q240" s="4" t="n">
        <f aca="false">O240+P240</f>
        <v>0</v>
      </c>
      <c r="R240" s="4" t="n">
        <v>0</v>
      </c>
      <c r="S240" s="4" t="n">
        <f aca="false">MAX(0,Q240-J240)</f>
        <v>0</v>
      </c>
      <c r="T240" s="4" t="n">
        <f aca="false">IF(G240&lt;=0,"n/a",ROUND((I240+O240)/G240,0))</f>
        <v>0</v>
      </c>
      <c r="U240" s="4" t="s">
        <v>437</v>
      </c>
      <c r="V240" s="4" t="s">
        <v>442</v>
      </c>
    </row>
    <row r="241" customFormat="false" ht="15" hidden="false" customHeight="false" outlineLevel="0" collapsed="false">
      <c r="A241" s="4" t="s">
        <v>842</v>
      </c>
      <c r="B241" s="4" t="s">
        <v>843</v>
      </c>
      <c r="C241" s="4" t="s">
        <v>844</v>
      </c>
      <c r="D241" s="4" t="n">
        <v>0</v>
      </c>
      <c r="E241" s="4" t="n">
        <v>16</v>
      </c>
      <c r="F241" s="6" t="n">
        <f aca="false">IF((D241+E241)=0,0,E241/(D241+E241))</f>
        <v>1</v>
      </c>
      <c r="G241" s="4" t="n">
        <v>1.07</v>
      </c>
      <c r="H241" s="4" t="n">
        <v>48</v>
      </c>
      <c r="I241" s="4" t="n">
        <v>0</v>
      </c>
      <c r="J241" s="4" t="n">
        <v>95</v>
      </c>
      <c r="K241" s="4" t="n">
        <f aca="false">IF(G241&lt;=0,"n/a",ROUND(I241/G241,0))</f>
        <v>0</v>
      </c>
      <c r="L241" s="4" t="n">
        <v>48</v>
      </c>
      <c r="M241" s="4" t="n">
        <v>4</v>
      </c>
      <c r="N241" s="4" t="n">
        <v>44</v>
      </c>
      <c r="O241" s="4" t="n">
        <v>0</v>
      </c>
      <c r="P241" s="4" t="n">
        <v>0</v>
      </c>
      <c r="Q241" s="4" t="n">
        <f aca="false">O241+P241</f>
        <v>0</v>
      </c>
      <c r="R241" s="4" t="n">
        <v>0</v>
      </c>
      <c r="S241" s="4" t="n">
        <f aca="false">MAX(0,Q241-J241)</f>
        <v>0</v>
      </c>
      <c r="T241" s="4" t="n">
        <f aca="false">IF(G241&lt;=0,"n/a",ROUND((I241+O241)/G241,0))</f>
        <v>0</v>
      </c>
      <c r="U241" s="4" t="s">
        <v>437</v>
      </c>
      <c r="V241" s="4" t="s">
        <v>442</v>
      </c>
    </row>
    <row r="242" customFormat="false" ht="15" hidden="false" customHeight="false" outlineLevel="0" collapsed="false">
      <c r="A242" s="4" t="s">
        <v>354</v>
      </c>
      <c r="B242" s="4" t="s">
        <v>355</v>
      </c>
      <c r="C242" s="4" t="s">
        <v>356</v>
      </c>
      <c r="D242" s="4" t="n">
        <v>0</v>
      </c>
      <c r="E242" s="4" t="n">
        <v>2</v>
      </c>
      <c r="F242" s="6" t="n">
        <f aca="false">IF((D242+E242)=0,0,E242/(D242+E242))</f>
        <v>1</v>
      </c>
      <c r="G242" s="4" t="n">
        <v>0.13</v>
      </c>
      <c r="H242" s="4" t="n">
        <v>6</v>
      </c>
      <c r="I242" s="4" t="n">
        <v>0</v>
      </c>
      <c r="J242" s="4" t="n">
        <v>58</v>
      </c>
      <c r="K242" s="4" t="n">
        <f aca="false">IF(G242&lt;=0,"n/a",ROUND(I242/G242,0))</f>
        <v>0</v>
      </c>
      <c r="L242" s="4" t="n">
        <v>6</v>
      </c>
      <c r="M242" s="4" t="n">
        <v>0</v>
      </c>
      <c r="N242" s="4" t="n">
        <v>6</v>
      </c>
      <c r="O242" s="4" t="n">
        <v>6</v>
      </c>
      <c r="P242" s="4" t="n">
        <v>0</v>
      </c>
      <c r="Q242" s="4" t="n">
        <f aca="false">O242+P242</f>
        <v>6</v>
      </c>
      <c r="R242" s="4" t="n">
        <v>0</v>
      </c>
      <c r="S242" s="4" t="n">
        <f aca="false">MAX(0,Q242-J242)</f>
        <v>0</v>
      </c>
      <c r="T242" s="4" t="n">
        <f aca="false">IF(G242&lt;=0,"n/a",ROUND((I242+O242)/G242,0))</f>
        <v>46</v>
      </c>
      <c r="U242" s="4" t="s">
        <v>437</v>
      </c>
      <c r="V242" s="4" t="s">
        <v>448</v>
      </c>
    </row>
    <row r="243" customFormat="false" ht="15" hidden="false" customHeight="false" outlineLevel="0" collapsed="false">
      <c r="A243" s="4" t="s">
        <v>845</v>
      </c>
      <c r="B243" s="4" t="s">
        <v>846</v>
      </c>
      <c r="C243" s="4" t="s">
        <v>847</v>
      </c>
      <c r="D243" s="4" t="n">
        <v>0</v>
      </c>
      <c r="E243" s="4" t="n">
        <v>1</v>
      </c>
      <c r="F243" s="6" t="n">
        <f aca="false">IF((D243+E243)=0,0,E243/(D243+E243))</f>
        <v>1</v>
      </c>
      <c r="G243" s="4" t="n">
        <v>0.07</v>
      </c>
      <c r="H243" s="4" t="n">
        <v>3</v>
      </c>
      <c r="I243" s="4" t="n">
        <v>0</v>
      </c>
      <c r="J243" s="4" t="n">
        <v>9</v>
      </c>
      <c r="K243" s="4" t="n">
        <f aca="false">IF(G243&lt;=0,"n/a",ROUND(I243/G243,0))</f>
        <v>0</v>
      </c>
      <c r="L243" s="4" t="n">
        <v>3</v>
      </c>
      <c r="M243" s="4" t="n">
        <v>0</v>
      </c>
      <c r="N243" s="4" t="n">
        <v>3</v>
      </c>
      <c r="O243" s="4" t="n">
        <v>0</v>
      </c>
      <c r="P243" s="4" t="n">
        <v>0</v>
      </c>
      <c r="Q243" s="4" t="n">
        <f aca="false">O243+P243</f>
        <v>0</v>
      </c>
      <c r="R243" s="4" t="n">
        <v>0</v>
      </c>
      <c r="S243" s="4" t="n">
        <f aca="false">MAX(0,Q243-J243)</f>
        <v>0</v>
      </c>
      <c r="T243" s="4" t="n">
        <f aca="false">IF(G243&lt;=0,"n/a",ROUND((I243+O243)/G243,0))</f>
        <v>0</v>
      </c>
      <c r="U243" s="4" t="s">
        <v>437</v>
      </c>
      <c r="V243" s="4" t="s">
        <v>442</v>
      </c>
    </row>
  </sheetData>
  <autoFilter ref="A2:V2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50"/>
    <col collapsed="false" customWidth="true" hidden="false" outlineLevel="0" max="3" min="3" style="0" width="30"/>
    <col collapsed="false" customWidth="true" hidden="false" outlineLevel="0" max="26" min="4" style="0" width="8"/>
    <col collapsed="false" customWidth="true" hidden="false" outlineLevel="0" max="27" min="27" style="0" width="9"/>
  </cols>
  <sheetData>
    <row r="1" customFormat="false" ht="15" hidden="false" customHeight="false" outlineLevel="0" collapsed="false">
      <c r="A1" s="1" t="s">
        <v>0</v>
      </c>
      <c r="B1" s="1"/>
      <c r="C1" s="1"/>
      <c r="D1" s="1" t="n">
        <f aca="false">SUM(D3:D109)</f>
        <v>68</v>
      </c>
      <c r="E1" s="1" t="n">
        <f aca="false">SUM(E3:E109)</f>
        <v>18</v>
      </c>
      <c r="F1" s="1" t="n">
        <f aca="false">SUM(F3:F109)</f>
        <v>86</v>
      </c>
      <c r="G1" s="1" t="n">
        <f aca="false">SUM(G3:G109)</f>
        <v>217</v>
      </c>
      <c r="H1" s="1" t="n">
        <f aca="false">SUM(H3:H109)</f>
        <v>20</v>
      </c>
      <c r="I1" s="1" t="n">
        <f aca="false">SUM(I3:I109)</f>
        <v>64</v>
      </c>
      <c r="J1" s="1" t="n">
        <f aca="false">SUM(J3:J109)</f>
        <v>50</v>
      </c>
      <c r="K1" s="1" t="n">
        <f aca="false">SUM(K3:K109)</f>
        <v>143</v>
      </c>
      <c r="L1" s="1" t="n">
        <f aca="false">SUM(L3:L109)</f>
        <v>123</v>
      </c>
      <c r="M1" s="1" t="n">
        <f aca="false">SUM(M3:M109)</f>
        <v>58</v>
      </c>
      <c r="N1" s="1" t="n">
        <f aca="false">SUM(N3:N109)</f>
        <v>86</v>
      </c>
      <c r="O1" s="1" t="n">
        <f aca="false">SUM(O3:O109)</f>
        <v>92</v>
      </c>
      <c r="P1" s="1" t="n">
        <f aca="false">SUM(P3:P109)</f>
        <v>183</v>
      </c>
      <c r="Q1" s="1" t="n">
        <f aca="false">SUM(Q3:Q109)</f>
        <v>107</v>
      </c>
      <c r="R1" s="1" t="n">
        <f aca="false">SUM(R3:R109)</f>
        <v>0</v>
      </c>
      <c r="S1" s="1" t="n">
        <f aca="false">SUM(S3:S109)</f>
        <v>39</v>
      </c>
      <c r="T1" s="1" t="n">
        <f aca="false">SUM(T3:T109)</f>
        <v>229</v>
      </c>
      <c r="U1" s="1" t="n">
        <f aca="false">SUM(U3:U109)</f>
        <v>243</v>
      </c>
      <c r="V1" s="1" t="n">
        <f aca="false">SUM(V3:V109)</f>
        <v>292</v>
      </c>
      <c r="W1" s="1" t="n">
        <f aca="false">SUM(W3:W109)</f>
        <v>146</v>
      </c>
      <c r="X1" s="1" t="n">
        <f aca="false">SUM(X3:X109)</f>
        <v>0</v>
      </c>
      <c r="Y1" s="1" t="n">
        <f aca="false">SUM(Y3:Y109)</f>
        <v>1042</v>
      </c>
      <c r="Z1" s="1" t="n">
        <f aca="false">SUM(Z3:Z109)</f>
        <v>438</v>
      </c>
      <c r="AA1" s="1" t="n">
        <f aca="false">SUM(AA3:AA109)</f>
        <v>3744</v>
      </c>
    </row>
    <row r="2" customFormat="false" ht="15" hidden="false" customHeight="false" outlineLevel="0" collapsed="false">
      <c r="A2" s="2" t="s">
        <v>1</v>
      </c>
      <c r="B2" s="2" t="s">
        <v>2</v>
      </c>
      <c r="C2" s="2" t="s">
        <v>3</v>
      </c>
      <c r="D2" s="2" t="s">
        <v>82</v>
      </c>
      <c r="E2" s="2" t="s">
        <v>29</v>
      </c>
      <c r="F2" s="2" t="s">
        <v>74</v>
      </c>
      <c r="G2" s="2" t="s">
        <v>30</v>
      </c>
      <c r="H2" s="2" t="s">
        <v>182</v>
      </c>
      <c r="I2" s="2" t="s">
        <v>31</v>
      </c>
      <c r="J2" s="2" t="s">
        <v>75</v>
      </c>
      <c r="K2" s="2" t="s">
        <v>76</v>
      </c>
      <c r="L2" s="2" t="s">
        <v>32</v>
      </c>
      <c r="M2" s="2" t="s">
        <v>77</v>
      </c>
      <c r="N2" s="2" t="s">
        <v>66</v>
      </c>
      <c r="O2" s="2" t="s">
        <v>34</v>
      </c>
      <c r="P2" s="2" t="s">
        <v>53</v>
      </c>
      <c r="Q2" s="2" t="s">
        <v>35</v>
      </c>
      <c r="R2" s="2" t="s">
        <v>387</v>
      </c>
      <c r="S2" s="2" t="s">
        <v>78</v>
      </c>
      <c r="T2" s="2" t="s">
        <v>18</v>
      </c>
      <c r="U2" s="2" t="s">
        <v>39</v>
      </c>
      <c r="V2" s="2" t="s">
        <v>70</v>
      </c>
      <c r="W2" s="2" t="s">
        <v>40</v>
      </c>
      <c r="X2" s="2" t="s">
        <v>394</v>
      </c>
      <c r="Y2" s="2" t="s">
        <v>15</v>
      </c>
      <c r="Z2" s="2" t="s">
        <v>33</v>
      </c>
      <c r="AA2" s="2" t="s">
        <v>848</v>
      </c>
    </row>
    <row r="3" customFormat="false" ht="15" hidden="false" customHeight="false" outlineLevel="0" collapsed="false">
      <c r="A3" s="4" t="s">
        <v>12</v>
      </c>
      <c r="B3" s="4" t="s">
        <v>13</v>
      </c>
      <c r="C3" s="4" t="s">
        <v>14</v>
      </c>
      <c r="D3" s="4"/>
      <c r="E3" s="4"/>
      <c r="F3" s="4"/>
      <c r="G3" s="4"/>
      <c r="H3" s="4"/>
      <c r="I3" s="4"/>
      <c r="J3" s="4"/>
      <c r="K3" s="4"/>
      <c r="L3" s="4"/>
      <c r="M3" s="4"/>
      <c r="N3" s="4"/>
      <c r="O3" s="4"/>
      <c r="P3" s="4"/>
      <c r="Q3" s="4"/>
      <c r="R3" s="4"/>
      <c r="S3" s="4"/>
      <c r="T3" s="4" t="n">
        <v>2</v>
      </c>
      <c r="U3" s="4"/>
      <c r="V3" s="4"/>
      <c r="W3" s="4"/>
      <c r="X3" s="4"/>
      <c r="Y3" s="4" t="n">
        <v>4</v>
      </c>
      <c r="Z3" s="4"/>
      <c r="AA3" s="4" t="n">
        <f aca="false">SUM(D3:Z3)</f>
        <v>6</v>
      </c>
    </row>
    <row r="4" customFormat="false" ht="15" hidden="false" customHeight="false" outlineLevel="0" collapsed="false">
      <c r="A4" s="4" t="s">
        <v>20</v>
      </c>
      <c r="B4" s="4" t="s">
        <v>21</v>
      </c>
      <c r="C4" s="4" t="s">
        <v>22</v>
      </c>
      <c r="D4" s="4"/>
      <c r="E4" s="4"/>
      <c r="F4" s="4"/>
      <c r="G4" s="4"/>
      <c r="H4" s="4"/>
      <c r="I4" s="4"/>
      <c r="J4" s="4"/>
      <c r="K4" s="4"/>
      <c r="L4" s="4"/>
      <c r="M4" s="4"/>
      <c r="N4" s="4"/>
      <c r="O4" s="4"/>
      <c r="P4" s="4"/>
      <c r="Q4" s="4"/>
      <c r="R4" s="4"/>
      <c r="S4" s="4"/>
      <c r="T4" s="4" t="n">
        <v>2</v>
      </c>
      <c r="U4" s="4"/>
      <c r="V4" s="4"/>
      <c r="W4" s="4"/>
      <c r="X4" s="4"/>
      <c r="Y4" s="4" t="n">
        <v>4</v>
      </c>
      <c r="Z4" s="4"/>
      <c r="AA4" s="4" t="n">
        <f aca="false">SUM(D4:Z4)</f>
        <v>6</v>
      </c>
    </row>
    <row r="5" customFormat="false" ht="15" hidden="false" customHeight="false" outlineLevel="0" collapsed="false">
      <c r="A5" s="4" t="s">
        <v>23</v>
      </c>
      <c r="B5" s="4" t="s">
        <v>24</v>
      </c>
      <c r="C5" s="4" t="s">
        <v>25</v>
      </c>
      <c r="D5" s="4"/>
      <c r="E5" s="4"/>
      <c r="F5" s="4"/>
      <c r="G5" s="4"/>
      <c r="H5" s="4"/>
      <c r="I5" s="4"/>
      <c r="J5" s="4"/>
      <c r="K5" s="4"/>
      <c r="L5" s="4"/>
      <c r="M5" s="4"/>
      <c r="N5" s="4"/>
      <c r="O5" s="4"/>
      <c r="P5" s="4"/>
      <c r="Q5" s="4"/>
      <c r="R5" s="4"/>
      <c r="S5" s="4"/>
      <c r="T5" s="4" t="n">
        <v>3</v>
      </c>
      <c r="U5" s="4"/>
      <c r="V5" s="4"/>
      <c r="W5" s="4"/>
      <c r="X5" s="4"/>
      <c r="Y5" s="4"/>
      <c r="Z5" s="4"/>
      <c r="AA5" s="4" t="n">
        <f aca="false">SUM(D5:Z5)</f>
        <v>3</v>
      </c>
    </row>
    <row r="6" customFormat="false" ht="15" hidden="false" customHeight="false" outlineLevel="0" collapsed="false">
      <c r="A6" s="4" t="s">
        <v>26</v>
      </c>
      <c r="B6" s="4" t="s">
        <v>27</v>
      </c>
      <c r="C6" s="4" t="s">
        <v>28</v>
      </c>
      <c r="D6" s="4"/>
      <c r="E6" s="4" t="n">
        <v>3</v>
      </c>
      <c r="F6" s="4"/>
      <c r="G6" s="4" t="n">
        <v>2</v>
      </c>
      <c r="H6" s="4"/>
      <c r="I6" s="4" t="n">
        <v>2</v>
      </c>
      <c r="J6" s="4"/>
      <c r="K6" s="4"/>
      <c r="L6" s="4" t="n">
        <v>2</v>
      </c>
      <c r="M6" s="4"/>
      <c r="N6" s="4"/>
      <c r="O6" s="4" t="n">
        <v>2</v>
      </c>
      <c r="P6" s="4"/>
      <c r="Q6" s="4" t="n">
        <v>12</v>
      </c>
      <c r="R6" s="4"/>
      <c r="S6" s="4"/>
      <c r="T6" s="4"/>
      <c r="U6" s="4"/>
      <c r="V6" s="4"/>
      <c r="W6" s="4"/>
      <c r="X6" s="4"/>
      <c r="Y6" s="4" t="n">
        <v>29</v>
      </c>
      <c r="Z6" s="4" t="n">
        <v>13</v>
      </c>
      <c r="AA6" s="4" t="n">
        <f aca="false">SUM(D6:Z6)</f>
        <v>65</v>
      </c>
    </row>
    <row r="7" customFormat="false" ht="15" hidden="false" customHeight="false" outlineLevel="0" collapsed="false">
      <c r="A7" s="4" t="s">
        <v>36</v>
      </c>
      <c r="B7" s="4" t="s">
        <v>37</v>
      </c>
      <c r="C7" s="4" t="s">
        <v>38</v>
      </c>
      <c r="D7" s="4"/>
      <c r="E7" s="4"/>
      <c r="F7" s="4"/>
      <c r="G7" s="4" t="n">
        <v>3</v>
      </c>
      <c r="H7" s="4"/>
      <c r="I7" s="4"/>
      <c r="J7" s="4"/>
      <c r="K7" s="4"/>
      <c r="L7" s="4"/>
      <c r="M7" s="4"/>
      <c r="N7" s="4"/>
      <c r="O7" s="4"/>
      <c r="P7" s="4"/>
      <c r="Q7" s="4"/>
      <c r="R7" s="4"/>
      <c r="S7" s="4"/>
      <c r="T7" s="4" t="n">
        <v>3</v>
      </c>
      <c r="U7" s="4" t="n">
        <v>3</v>
      </c>
      <c r="V7" s="4"/>
      <c r="W7" s="4" t="n">
        <v>3</v>
      </c>
      <c r="X7" s="4"/>
      <c r="Y7" s="4"/>
      <c r="Z7" s="4"/>
      <c r="AA7" s="4" t="n">
        <f aca="false">SUM(D7:Z7)</f>
        <v>12</v>
      </c>
    </row>
    <row r="8" customFormat="false" ht="15" hidden="false" customHeight="false" outlineLevel="0" collapsed="false">
      <c r="A8" s="4" t="s">
        <v>41</v>
      </c>
      <c r="B8" s="4" t="s">
        <v>42</v>
      </c>
      <c r="C8" s="4" t="s">
        <v>43</v>
      </c>
      <c r="D8" s="4"/>
      <c r="E8" s="4"/>
      <c r="F8" s="4"/>
      <c r="G8" s="4"/>
      <c r="H8" s="4"/>
      <c r="I8" s="4" t="n">
        <v>2</v>
      </c>
      <c r="J8" s="4"/>
      <c r="K8" s="4"/>
      <c r="L8" s="4"/>
      <c r="M8" s="4"/>
      <c r="N8" s="4"/>
      <c r="O8" s="4"/>
      <c r="P8" s="4"/>
      <c r="Q8" s="4"/>
      <c r="R8" s="4"/>
      <c r="S8" s="4"/>
      <c r="T8" s="4"/>
      <c r="U8" s="4" t="n">
        <v>4</v>
      </c>
      <c r="V8" s="4"/>
      <c r="W8" s="4"/>
      <c r="X8" s="4"/>
      <c r="Y8" s="4" t="n">
        <v>7</v>
      </c>
      <c r="Z8" s="4" t="n">
        <v>3</v>
      </c>
      <c r="AA8" s="4" t="n">
        <f aca="false">SUM(D8:Z8)</f>
        <v>16</v>
      </c>
    </row>
    <row r="9" customFormat="false" ht="15" hidden="false" customHeight="false" outlineLevel="0" collapsed="false">
      <c r="A9" s="4" t="s">
        <v>44</v>
      </c>
      <c r="B9" s="4" t="s">
        <v>45</v>
      </c>
      <c r="C9" s="4" t="s">
        <v>46</v>
      </c>
      <c r="D9" s="4"/>
      <c r="E9" s="4"/>
      <c r="F9" s="4"/>
      <c r="G9" s="4"/>
      <c r="H9" s="4"/>
      <c r="I9" s="4"/>
      <c r="J9" s="4"/>
      <c r="K9" s="4"/>
      <c r="L9" s="4"/>
      <c r="M9" s="4"/>
      <c r="N9" s="4"/>
      <c r="O9" s="4"/>
      <c r="P9" s="4"/>
      <c r="Q9" s="4"/>
      <c r="R9" s="4"/>
      <c r="S9" s="4"/>
      <c r="T9" s="4" t="n">
        <v>2</v>
      </c>
      <c r="U9" s="4"/>
      <c r="V9" s="4"/>
      <c r="W9" s="4"/>
      <c r="X9" s="4"/>
      <c r="Y9" s="4" t="n">
        <v>4</v>
      </c>
      <c r="Z9" s="4"/>
      <c r="AA9" s="4" t="n">
        <f aca="false">SUM(D9:Z9)</f>
        <v>6</v>
      </c>
    </row>
    <row r="10" customFormat="false" ht="15" hidden="false" customHeight="false" outlineLevel="0" collapsed="false">
      <c r="A10" s="4" t="s">
        <v>47</v>
      </c>
      <c r="B10" s="4" t="s">
        <v>48</v>
      </c>
      <c r="C10" s="4" t="s">
        <v>49</v>
      </c>
      <c r="D10" s="4"/>
      <c r="E10" s="4"/>
      <c r="F10" s="4"/>
      <c r="G10" s="4" t="n">
        <v>3</v>
      </c>
      <c r="H10" s="4"/>
      <c r="I10" s="4"/>
      <c r="J10" s="4"/>
      <c r="K10" s="4"/>
      <c r="L10" s="4"/>
      <c r="M10" s="4"/>
      <c r="N10" s="4"/>
      <c r="O10" s="4"/>
      <c r="P10" s="4"/>
      <c r="Q10" s="4"/>
      <c r="R10" s="4"/>
      <c r="S10" s="4"/>
      <c r="T10" s="4" t="n">
        <v>4</v>
      </c>
      <c r="U10" s="4" t="n">
        <v>3</v>
      </c>
      <c r="V10" s="4"/>
      <c r="W10" s="4" t="n">
        <v>3</v>
      </c>
      <c r="X10" s="4"/>
      <c r="Y10" s="4"/>
      <c r="Z10" s="4"/>
      <c r="AA10" s="4" t="n">
        <f aca="false">SUM(D10:Z10)</f>
        <v>13</v>
      </c>
    </row>
    <row r="11" customFormat="false" ht="15" hidden="false" customHeight="false" outlineLevel="0" collapsed="false">
      <c r="A11" s="4" t="s">
        <v>50</v>
      </c>
      <c r="B11" s="4" t="s">
        <v>51</v>
      </c>
      <c r="C11" s="4" t="s">
        <v>52</v>
      </c>
      <c r="D11" s="4"/>
      <c r="E11" s="4"/>
      <c r="F11" s="4"/>
      <c r="G11" s="4" t="n">
        <v>2</v>
      </c>
      <c r="H11" s="4"/>
      <c r="I11" s="4" t="n">
        <v>2</v>
      </c>
      <c r="J11" s="4"/>
      <c r="K11" s="4"/>
      <c r="L11" s="4"/>
      <c r="M11" s="4"/>
      <c r="N11" s="4"/>
      <c r="O11" s="4"/>
      <c r="P11" s="4" t="n">
        <v>3</v>
      </c>
      <c r="Q11" s="4"/>
      <c r="R11" s="4"/>
      <c r="S11" s="4"/>
      <c r="T11" s="4"/>
      <c r="U11" s="4" t="n">
        <v>3</v>
      </c>
      <c r="V11" s="4"/>
      <c r="W11" s="4"/>
      <c r="X11" s="4"/>
      <c r="Y11" s="4" t="n">
        <v>4</v>
      </c>
      <c r="Z11" s="4"/>
      <c r="AA11" s="4" t="n">
        <f aca="false">SUM(D11:Z11)</f>
        <v>14</v>
      </c>
    </row>
    <row r="12" customFormat="false" ht="15" hidden="false" customHeight="false" outlineLevel="0" collapsed="false">
      <c r="A12" s="4" t="s">
        <v>54</v>
      </c>
      <c r="B12" s="4" t="s">
        <v>55</v>
      </c>
      <c r="C12" s="4" t="s">
        <v>56</v>
      </c>
      <c r="D12" s="4"/>
      <c r="E12" s="4"/>
      <c r="F12" s="4"/>
      <c r="G12" s="4"/>
      <c r="H12" s="4"/>
      <c r="I12" s="4"/>
      <c r="J12" s="4"/>
      <c r="K12" s="4"/>
      <c r="L12" s="4"/>
      <c r="M12" s="4"/>
      <c r="N12" s="4"/>
      <c r="O12" s="4"/>
      <c r="P12" s="4"/>
      <c r="Q12" s="4"/>
      <c r="R12" s="4"/>
      <c r="S12" s="4"/>
      <c r="T12" s="4"/>
      <c r="U12" s="4" t="n">
        <v>3</v>
      </c>
      <c r="V12" s="4"/>
      <c r="W12" s="4"/>
      <c r="X12" s="4"/>
      <c r="Y12" s="4" t="n">
        <v>3</v>
      </c>
      <c r="Z12" s="4"/>
      <c r="AA12" s="4" t="n">
        <f aca="false">SUM(D12:Z12)</f>
        <v>6</v>
      </c>
    </row>
    <row r="13" customFormat="false" ht="15" hidden="false" customHeight="false" outlineLevel="0" collapsed="false">
      <c r="A13" s="4" t="s">
        <v>57</v>
      </c>
      <c r="B13" s="4" t="s">
        <v>58</v>
      </c>
      <c r="C13" s="4" t="s">
        <v>59</v>
      </c>
      <c r="D13" s="4"/>
      <c r="E13" s="4"/>
      <c r="F13" s="4"/>
      <c r="G13" s="4"/>
      <c r="H13" s="4"/>
      <c r="I13" s="4"/>
      <c r="J13" s="4"/>
      <c r="K13" s="4"/>
      <c r="L13" s="4"/>
      <c r="M13" s="4"/>
      <c r="N13" s="4"/>
      <c r="O13" s="4"/>
      <c r="P13" s="4"/>
      <c r="Q13" s="4"/>
      <c r="R13" s="4"/>
      <c r="S13" s="4"/>
      <c r="T13" s="4" t="n">
        <v>3</v>
      </c>
      <c r="U13" s="4"/>
      <c r="V13" s="4"/>
      <c r="W13" s="4"/>
      <c r="X13" s="4"/>
      <c r="Y13" s="4"/>
      <c r="Z13" s="4"/>
      <c r="AA13" s="4" t="n">
        <f aca="false">SUM(D13:Z13)</f>
        <v>3</v>
      </c>
    </row>
    <row r="14" customFormat="false" ht="15" hidden="false" customHeight="false" outlineLevel="0" collapsed="false">
      <c r="A14" s="4" t="s">
        <v>60</v>
      </c>
      <c r="B14" s="4" t="s">
        <v>61</v>
      </c>
      <c r="C14" s="4" t="s">
        <v>62</v>
      </c>
      <c r="D14" s="4"/>
      <c r="E14" s="4"/>
      <c r="F14" s="4"/>
      <c r="G14" s="4"/>
      <c r="H14" s="4"/>
      <c r="I14" s="4"/>
      <c r="J14" s="4"/>
      <c r="K14" s="4"/>
      <c r="L14" s="4"/>
      <c r="M14" s="4"/>
      <c r="N14" s="4"/>
      <c r="O14" s="4"/>
      <c r="P14" s="4"/>
      <c r="Q14" s="4"/>
      <c r="R14" s="4"/>
      <c r="S14" s="4"/>
      <c r="T14" s="4" t="n">
        <v>2</v>
      </c>
      <c r="U14" s="4" t="n">
        <v>2</v>
      </c>
      <c r="V14" s="4"/>
      <c r="W14" s="4"/>
      <c r="X14" s="4"/>
      <c r="Y14" s="4"/>
      <c r="Z14" s="4"/>
      <c r="AA14" s="4" t="n">
        <f aca="false">SUM(D14:Z14)</f>
        <v>4</v>
      </c>
    </row>
    <row r="15" customFormat="false" ht="15" hidden="false" customHeight="false" outlineLevel="0" collapsed="false">
      <c r="A15" s="4" t="s">
        <v>63</v>
      </c>
      <c r="B15" s="4" t="s">
        <v>64</v>
      </c>
      <c r="C15" s="4" t="s">
        <v>65</v>
      </c>
      <c r="D15" s="4"/>
      <c r="E15" s="4"/>
      <c r="F15" s="4"/>
      <c r="G15" s="4"/>
      <c r="H15" s="4"/>
      <c r="I15" s="4"/>
      <c r="J15" s="4"/>
      <c r="K15" s="4"/>
      <c r="L15" s="4" t="n">
        <v>5</v>
      </c>
      <c r="M15" s="4"/>
      <c r="N15" s="4" t="n">
        <v>10</v>
      </c>
      <c r="O15" s="4"/>
      <c r="P15" s="4"/>
      <c r="Q15" s="4"/>
      <c r="R15" s="4"/>
      <c r="S15" s="4"/>
      <c r="T15" s="4"/>
      <c r="U15" s="4"/>
      <c r="V15" s="4"/>
      <c r="W15" s="4"/>
      <c r="X15" s="4"/>
      <c r="Y15" s="4" t="n">
        <v>7</v>
      </c>
      <c r="Z15" s="4" t="n">
        <v>3</v>
      </c>
      <c r="AA15" s="4" t="n">
        <f aca="false">SUM(D15:Z15)</f>
        <v>25</v>
      </c>
    </row>
    <row r="16" customFormat="false" ht="15" hidden="false" customHeight="false" outlineLevel="0" collapsed="false">
      <c r="A16" s="4" t="s">
        <v>67</v>
      </c>
      <c r="B16" s="4" t="s">
        <v>68</v>
      </c>
      <c r="C16" s="4" t="s">
        <v>69</v>
      </c>
      <c r="D16" s="4"/>
      <c r="E16" s="4"/>
      <c r="F16" s="4"/>
      <c r="G16" s="4" t="n">
        <v>12</v>
      </c>
      <c r="H16" s="4"/>
      <c r="I16" s="4"/>
      <c r="J16" s="4"/>
      <c r="K16" s="4"/>
      <c r="L16" s="4"/>
      <c r="M16" s="4"/>
      <c r="N16" s="4"/>
      <c r="O16" s="4"/>
      <c r="P16" s="4"/>
      <c r="Q16" s="4"/>
      <c r="R16" s="4"/>
      <c r="S16" s="4"/>
      <c r="T16" s="4" t="n">
        <v>2</v>
      </c>
      <c r="U16" s="4"/>
      <c r="V16" s="4" t="n">
        <v>6</v>
      </c>
      <c r="W16" s="4"/>
      <c r="X16" s="4"/>
      <c r="Y16" s="4" t="n">
        <v>8</v>
      </c>
      <c r="Z16" s="4" t="n">
        <v>3</v>
      </c>
      <c r="AA16" s="4" t="n">
        <f aca="false">SUM(D16:Z16)</f>
        <v>31</v>
      </c>
    </row>
    <row r="17" customFormat="false" ht="15" hidden="false" customHeight="false" outlineLevel="0" collapsed="false">
      <c r="A17" s="4" t="s">
        <v>71</v>
      </c>
      <c r="B17" s="4" t="s">
        <v>72</v>
      </c>
      <c r="C17" s="4" t="s">
        <v>73</v>
      </c>
      <c r="D17" s="4"/>
      <c r="E17" s="4"/>
      <c r="F17" s="4" t="n">
        <v>2</v>
      </c>
      <c r="G17" s="4" t="n">
        <v>2</v>
      </c>
      <c r="H17" s="4"/>
      <c r="I17" s="4" t="n">
        <v>2</v>
      </c>
      <c r="J17" s="4" t="n">
        <v>8</v>
      </c>
      <c r="K17" s="4" t="n">
        <v>23</v>
      </c>
      <c r="L17" s="4" t="n">
        <v>6</v>
      </c>
      <c r="M17" s="4" t="n">
        <v>3</v>
      </c>
      <c r="N17" s="4" t="n">
        <v>3</v>
      </c>
      <c r="O17" s="4"/>
      <c r="P17" s="4" t="n">
        <v>21</v>
      </c>
      <c r="Q17" s="4" t="n">
        <v>21</v>
      </c>
      <c r="R17" s="4"/>
      <c r="S17" s="4" t="n">
        <v>5</v>
      </c>
      <c r="T17" s="4" t="n">
        <v>2</v>
      </c>
      <c r="U17" s="4" t="n">
        <v>14</v>
      </c>
      <c r="V17" s="4"/>
      <c r="W17" s="4" t="n">
        <v>2</v>
      </c>
      <c r="X17" s="4"/>
      <c r="Y17" s="4" t="n">
        <v>74</v>
      </c>
      <c r="Z17" s="4" t="n">
        <v>33</v>
      </c>
      <c r="AA17" s="4" t="n">
        <f aca="false">SUM(D17:Z17)</f>
        <v>221</v>
      </c>
    </row>
    <row r="18" customFormat="false" ht="15" hidden="false" customHeight="false" outlineLevel="0" collapsed="false">
      <c r="A18" s="4" t="s">
        <v>79</v>
      </c>
      <c r="B18" s="4" t="s">
        <v>80</v>
      </c>
      <c r="C18" s="4" t="s">
        <v>81</v>
      </c>
      <c r="D18" s="4" t="n">
        <v>2</v>
      </c>
      <c r="E18" s="4"/>
      <c r="F18" s="4" t="n">
        <v>6</v>
      </c>
      <c r="G18" s="4"/>
      <c r="H18" s="4"/>
      <c r="I18" s="4" t="n">
        <v>2</v>
      </c>
      <c r="J18" s="4"/>
      <c r="K18" s="4"/>
      <c r="L18" s="4" t="n">
        <v>2</v>
      </c>
      <c r="M18" s="4" t="n">
        <v>2</v>
      </c>
      <c r="N18" s="4"/>
      <c r="O18" s="4" t="n">
        <v>2</v>
      </c>
      <c r="P18" s="4" t="n">
        <v>2</v>
      </c>
      <c r="Q18" s="4"/>
      <c r="R18" s="4"/>
      <c r="S18" s="4" t="n">
        <v>2</v>
      </c>
      <c r="T18" s="4" t="n">
        <v>3</v>
      </c>
      <c r="U18" s="4" t="n">
        <v>3</v>
      </c>
      <c r="V18" s="4" t="n">
        <v>2</v>
      </c>
      <c r="W18" s="4" t="n">
        <v>3</v>
      </c>
      <c r="X18" s="4"/>
      <c r="Y18" s="4" t="n">
        <v>11</v>
      </c>
      <c r="Z18" s="4" t="n">
        <v>5</v>
      </c>
      <c r="AA18" s="4" t="n">
        <f aca="false">SUM(D18:Z18)</f>
        <v>47</v>
      </c>
    </row>
    <row r="19" customFormat="false" ht="15" hidden="false" customHeight="false" outlineLevel="0" collapsed="false">
      <c r="A19" s="4" t="s">
        <v>83</v>
      </c>
      <c r="B19" s="4" t="s">
        <v>84</v>
      </c>
      <c r="C19" s="4" t="s">
        <v>85</v>
      </c>
      <c r="D19" s="4" t="n">
        <v>2</v>
      </c>
      <c r="E19" s="4"/>
      <c r="F19" s="4"/>
      <c r="G19" s="4"/>
      <c r="H19" s="4"/>
      <c r="I19" s="4" t="n">
        <v>2</v>
      </c>
      <c r="J19" s="4" t="n">
        <v>2</v>
      </c>
      <c r="K19" s="4"/>
      <c r="L19" s="4"/>
      <c r="M19" s="4"/>
      <c r="N19" s="4"/>
      <c r="O19" s="4"/>
      <c r="P19" s="4" t="n">
        <v>2</v>
      </c>
      <c r="Q19" s="4"/>
      <c r="R19" s="4"/>
      <c r="S19" s="4"/>
      <c r="T19" s="4" t="n">
        <v>2</v>
      </c>
      <c r="U19" s="4"/>
      <c r="V19" s="4"/>
      <c r="W19" s="4"/>
      <c r="X19" s="4"/>
      <c r="Y19" s="4"/>
      <c r="Z19" s="4"/>
      <c r="AA19" s="4" t="n">
        <f aca="false">SUM(D19:Z19)</f>
        <v>10</v>
      </c>
    </row>
    <row r="20" customFormat="false" ht="15" hidden="false" customHeight="false" outlineLevel="0" collapsed="false">
      <c r="A20" s="4" t="s">
        <v>86</v>
      </c>
      <c r="B20" s="4" t="s">
        <v>87</v>
      </c>
      <c r="C20" s="4" t="s">
        <v>88</v>
      </c>
      <c r="D20" s="4" t="n">
        <v>3</v>
      </c>
      <c r="E20" s="4"/>
      <c r="F20" s="4" t="n">
        <v>3</v>
      </c>
      <c r="G20" s="4" t="n">
        <v>3</v>
      </c>
      <c r="H20" s="4"/>
      <c r="I20" s="4" t="n">
        <v>2</v>
      </c>
      <c r="J20" s="4"/>
      <c r="K20" s="4"/>
      <c r="L20" s="4" t="n">
        <v>8</v>
      </c>
      <c r="M20" s="4"/>
      <c r="N20" s="4" t="n">
        <v>2</v>
      </c>
      <c r="O20" s="4" t="n">
        <v>4</v>
      </c>
      <c r="P20" s="4" t="n">
        <v>4</v>
      </c>
      <c r="Q20" s="4" t="n">
        <v>3</v>
      </c>
      <c r="R20" s="4"/>
      <c r="S20" s="4" t="n">
        <v>3</v>
      </c>
      <c r="T20" s="4" t="n">
        <v>4</v>
      </c>
      <c r="U20" s="4" t="n">
        <v>2</v>
      </c>
      <c r="V20" s="4" t="n">
        <v>2</v>
      </c>
      <c r="W20" s="4" t="n">
        <v>6</v>
      </c>
      <c r="X20" s="4"/>
      <c r="Y20" s="4" t="n">
        <v>11</v>
      </c>
      <c r="Z20" s="4" t="n">
        <v>5</v>
      </c>
      <c r="AA20" s="4" t="n">
        <f aca="false">SUM(D20:Z20)</f>
        <v>65</v>
      </c>
    </row>
    <row r="21" customFormat="false" ht="15" hidden="false" customHeight="false" outlineLevel="0" collapsed="false">
      <c r="A21" s="4" t="s">
        <v>89</v>
      </c>
      <c r="B21" s="4" t="s">
        <v>90</v>
      </c>
      <c r="C21" s="4" t="s">
        <v>91</v>
      </c>
      <c r="D21" s="4" t="n">
        <v>4</v>
      </c>
      <c r="E21" s="4"/>
      <c r="F21" s="4" t="n">
        <v>4</v>
      </c>
      <c r="G21" s="4"/>
      <c r="H21" s="4"/>
      <c r="I21" s="4" t="n">
        <v>2</v>
      </c>
      <c r="J21" s="4"/>
      <c r="K21" s="4" t="n">
        <v>2</v>
      </c>
      <c r="L21" s="4" t="n">
        <v>6</v>
      </c>
      <c r="M21" s="4" t="n">
        <v>2</v>
      </c>
      <c r="N21" s="4" t="n">
        <v>2</v>
      </c>
      <c r="O21" s="4"/>
      <c r="P21" s="4"/>
      <c r="Q21" s="4"/>
      <c r="R21" s="4"/>
      <c r="S21" s="4" t="n">
        <v>2</v>
      </c>
      <c r="T21" s="4"/>
      <c r="U21" s="4" t="n">
        <v>2</v>
      </c>
      <c r="V21" s="4" t="n">
        <v>3</v>
      </c>
      <c r="W21" s="4" t="n">
        <v>2</v>
      </c>
      <c r="X21" s="4"/>
      <c r="Y21" s="4" t="n">
        <v>7</v>
      </c>
      <c r="Z21" s="4" t="n">
        <v>3</v>
      </c>
      <c r="AA21" s="4" t="n">
        <f aca="false">SUM(D21:Z21)</f>
        <v>41</v>
      </c>
    </row>
    <row r="22" customFormat="false" ht="15" hidden="false" customHeight="false" outlineLevel="0" collapsed="false">
      <c r="A22" s="4" t="s">
        <v>92</v>
      </c>
      <c r="B22" s="4" t="s">
        <v>93</v>
      </c>
      <c r="C22" s="4" t="s">
        <v>94</v>
      </c>
      <c r="D22" s="4"/>
      <c r="E22" s="4"/>
      <c r="F22" s="4"/>
      <c r="G22" s="4"/>
      <c r="H22" s="4"/>
      <c r="I22" s="4"/>
      <c r="J22" s="4"/>
      <c r="K22" s="4"/>
      <c r="L22" s="4"/>
      <c r="M22" s="4"/>
      <c r="N22" s="4"/>
      <c r="O22" s="4"/>
      <c r="P22" s="4"/>
      <c r="Q22" s="4"/>
      <c r="R22" s="4"/>
      <c r="S22" s="4"/>
      <c r="T22" s="4" t="n">
        <v>2</v>
      </c>
      <c r="U22" s="4"/>
      <c r="V22" s="4"/>
      <c r="W22" s="4"/>
      <c r="X22" s="4"/>
      <c r="Y22" s="4"/>
      <c r="Z22" s="4"/>
      <c r="AA22" s="4" t="n">
        <f aca="false">SUM(D22:Z22)</f>
        <v>2</v>
      </c>
    </row>
    <row r="23" customFormat="false" ht="15" hidden="false" customHeight="false" outlineLevel="0" collapsed="false">
      <c r="A23" s="4" t="s">
        <v>95</v>
      </c>
      <c r="B23" s="4" t="s">
        <v>96</v>
      </c>
      <c r="C23" s="4" t="s">
        <v>97</v>
      </c>
      <c r="D23" s="4"/>
      <c r="E23" s="4"/>
      <c r="F23" s="4"/>
      <c r="G23" s="4" t="n">
        <v>18</v>
      </c>
      <c r="H23" s="4"/>
      <c r="I23" s="4"/>
      <c r="J23" s="4"/>
      <c r="K23" s="4"/>
      <c r="L23" s="4" t="n">
        <v>2</v>
      </c>
      <c r="M23" s="4"/>
      <c r="N23" s="4"/>
      <c r="O23" s="4"/>
      <c r="P23" s="4"/>
      <c r="Q23" s="4"/>
      <c r="R23" s="4"/>
      <c r="S23" s="4"/>
      <c r="T23" s="4" t="n">
        <v>2</v>
      </c>
      <c r="U23" s="4"/>
      <c r="V23" s="4"/>
      <c r="W23" s="4"/>
      <c r="X23" s="4"/>
      <c r="Y23" s="4" t="n">
        <v>13</v>
      </c>
      <c r="Z23" s="4" t="n">
        <v>6</v>
      </c>
      <c r="AA23" s="4" t="n">
        <f aca="false">SUM(D23:Z23)</f>
        <v>41</v>
      </c>
    </row>
    <row r="24" customFormat="false" ht="15" hidden="false" customHeight="false" outlineLevel="0" collapsed="false">
      <c r="A24" s="4" t="s">
        <v>98</v>
      </c>
      <c r="B24" s="4" t="s">
        <v>99</v>
      </c>
      <c r="C24" s="4" t="s">
        <v>100</v>
      </c>
      <c r="D24" s="4"/>
      <c r="E24" s="4"/>
      <c r="F24" s="4"/>
      <c r="G24" s="4"/>
      <c r="H24" s="4"/>
      <c r="I24" s="4"/>
      <c r="J24" s="4"/>
      <c r="K24" s="4"/>
      <c r="L24" s="4"/>
      <c r="M24" s="4"/>
      <c r="N24" s="4"/>
      <c r="O24" s="4"/>
      <c r="P24" s="4"/>
      <c r="Q24" s="4"/>
      <c r="R24" s="4"/>
      <c r="S24" s="4"/>
      <c r="T24" s="4" t="n">
        <v>2</v>
      </c>
      <c r="U24" s="4"/>
      <c r="V24" s="4"/>
      <c r="W24" s="4"/>
      <c r="X24" s="4"/>
      <c r="Y24" s="4"/>
      <c r="Z24" s="4"/>
      <c r="AA24" s="4" t="n">
        <f aca="false">SUM(D24:Z24)</f>
        <v>2</v>
      </c>
    </row>
    <row r="25" customFormat="false" ht="15" hidden="false" customHeight="false" outlineLevel="0" collapsed="false">
      <c r="A25" s="4" t="s">
        <v>101</v>
      </c>
      <c r="B25" s="4" t="s">
        <v>102</v>
      </c>
      <c r="C25" s="4" t="s">
        <v>103</v>
      </c>
      <c r="D25" s="4"/>
      <c r="E25" s="4"/>
      <c r="F25" s="4" t="n">
        <v>6</v>
      </c>
      <c r="G25" s="4" t="n">
        <v>2</v>
      </c>
      <c r="H25" s="4"/>
      <c r="I25" s="4" t="n">
        <v>2</v>
      </c>
      <c r="J25" s="4"/>
      <c r="K25" s="4" t="n">
        <v>2</v>
      </c>
      <c r="L25" s="4" t="n">
        <v>2</v>
      </c>
      <c r="M25" s="4"/>
      <c r="N25" s="4"/>
      <c r="O25" s="4" t="n">
        <v>2</v>
      </c>
      <c r="P25" s="4" t="n">
        <v>4</v>
      </c>
      <c r="Q25" s="4"/>
      <c r="R25" s="4"/>
      <c r="S25" s="4"/>
      <c r="T25" s="4" t="n">
        <v>2</v>
      </c>
      <c r="U25" s="4" t="n">
        <v>2</v>
      </c>
      <c r="V25" s="4" t="n">
        <v>3</v>
      </c>
      <c r="W25" s="4" t="n">
        <v>3</v>
      </c>
      <c r="X25" s="4"/>
      <c r="Y25" s="4" t="n">
        <v>9</v>
      </c>
      <c r="Z25" s="4" t="n">
        <v>4</v>
      </c>
      <c r="AA25" s="4" t="n">
        <f aca="false">SUM(D25:Z25)</f>
        <v>43</v>
      </c>
    </row>
    <row r="26" customFormat="false" ht="15" hidden="false" customHeight="false" outlineLevel="0" collapsed="false">
      <c r="A26" s="4" t="s">
        <v>104</v>
      </c>
      <c r="B26" s="4" t="s">
        <v>105</v>
      </c>
      <c r="C26" s="4" t="s">
        <v>106</v>
      </c>
      <c r="D26" s="4"/>
      <c r="E26" s="4"/>
      <c r="F26" s="4" t="n">
        <v>2</v>
      </c>
      <c r="G26" s="4"/>
      <c r="H26" s="4"/>
      <c r="I26" s="4"/>
      <c r="J26" s="4"/>
      <c r="K26" s="4"/>
      <c r="L26" s="4"/>
      <c r="M26" s="4"/>
      <c r="N26" s="4"/>
      <c r="O26" s="4"/>
      <c r="P26" s="4"/>
      <c r="Q26" s="4"/>
      <c r="R26" s="4"/>
      <c r="S26" s="4"/>
      <c r="T26" s="4"/>
      <c r="U26" s="4"/>
      <c r="V26" s="4"/>
      <c r="W26" s="4"/>
      <c r="X26" s="4"/>
      <c r="Y26" s="4"/>
      <c r="Z26" s="4"/>
      <c r="AA26" s="4" t="n">
        <f aca="false">SUM(D26:Z26)</f>
        <v>2</v>
      </c>
    </row>
    <row r="27" customFormat="false" ht="15" hidden="false" customHeight="false" outlineLevel="0" collapsed="false">
      <c r="A27" s="4" t="s">
        <v>107</v>
      </c>
      <c r="B27" s="4" t="s">
        <v>108</v>
      </c>
      <c r="C27" s="4" t="s">
        <v>109</v>
      </c>
      <c r="D27" s="4"/>
      <c r="E27" s="4"/>
      <c r="F27" s="4"/>
      <c r="G27" s="4"/>
      <c r="H27" s="4"/>
      <c r="I27" s="4"/>
      <c r="J27" s="4"/>
      <c r="K27" s="4"/>
      <c r="L27" s="4"/>
      <c r="M27" s="4"/>
      <c r="N27" s="4"/>
      <c r="O27" s="4"/>
      <c r="P27" s="4"/>
      <c r="Q27" s="4"/>
      <c r="R27" s="4"/>
      <c r="S27" s="4"/>
      <c r="T27" s="4" t="n">
        <v>2</v>
      </c>
      <c r="U27" s="4"/>
      <c r="V27" s="4"/>
      <c r="W27" s="4"/>
      <c r="X27" s="4"/>
      <c r="Y27" s="4" t="n">
        <v>4</v>
      </c>
      <c r="Z27" s="4"/>
      <c r="AA27" s="4" t="n">
        <f aca="false">SUM(D27:Z27)</f>
        <v>6</v>
      </c>
    </row>
    <row r="28" customFormat="false" ht="15" hidden="false" customHeight="false" outlineLevel="0" collapsed="false">
      <c r="A28" s="4" t="s">
        <v>110</v>
      </c>
      <c r="B28" s="4" t="s">
        <v>111</v>
      </c>
      <c r="C28" s="4" t="s">
        <v>112</v>
      </c>
      <c r="D28" s="4"/>
      <c r="E28" s="4"/>
      <c r="F28" s="4" t="n">
        <v>3</v>
      </c>
      <c r="G28" s="4" t="n">
        <v>3</v>
      </c>
      <c r="H28" s="4"/>
      <c r="I28" s="4"/>
      <c r="J28" s="4"/>
      <c r="K28" s="4"/>
      <c r="L28" s="4"/>
      <c r="M28" s="4"/>
      <c r="N28" s="4"/>
      <c r="O28" s="4"/>
      <c r="P28" s="4"/>
      <c r="Q28" s="4"/>
      <c r="R28" s="4"/>
      <c r="S28" s="4"/>
      <c r="T28" s="4"/>
      <c r="U28" s="4"/>
      <c r="V28" s="4"/>
      <c r="W28" s="4"/>
      <c r="X28" s="4"/>
      <c r="Y28" s="4" t="n">
        <v>3</v>
      </c>
      <c r="Z28" s="4"/>
      <c r="AA28" s="4" t="n">
        <f aca="false">SUM(D28:Z28)</f>
        <v>9</v>
      </c>
    </row>
    <row r="29" customFormat="false" ht="15" hidden="false" customHeight="false" outlineLevel="0" collapsed="false">
      <c r="A29" s="4" t="s">
        <v>113</v>
      </c>
      <c r="B29" s="4" t="s">
        <v>114</v>
      </c>
      <c r="C29" s="4" t="s">
        <v>115</v>
      </c>
      <c r="D29" s="4"/>
      <c r="E29" s="4"/>
      <c r="F29" s="4"/>
      <c r="G29" s="4"/>
      <c r="H29" s="4"/>
      <c r="I29" s="4"/>
      <c r="J29" s="4"/>
      <c r="K29" s="4"/>
      <c r="L29" s="4"/>
      <c r="M29" s="4"/>
      <c r="N29" s="4"/>
      <c r="O29" s="4"/>
      <c r="P29" s="4" t="n">
        <v>2</v>
      </c>
      <c r="Q29" s="4"/>
      <c r="R29" s="4"/>
      <c r="S29" s="4"/>
      <c r="T29" s="4" t="n">
        <v>2</v>
      </c>
      <c r="U29" s="4" t="n">
        <v>4</v>
      </c>
      <c r="V29" s="4"/>
      <c r="W29" s="4" t="n">
        <v>2</v>
      </c>
      <c r="X29" s="4"/>
      <c r="Y29" s="4"/>
      <c r="Z29" s="4"/>
      <c r="AA29" s="4" t="n">
        <f aca="false">SUM(D29:Z29)</f>
        <v>10</v>
      </c>
    </row>
    <row r="30" customFormat="false" ht="15" hidden="false" customHeight="false" outlineLevel="0" collapsed="false">
      <c r="A30" s="4" t="s">
        <v>116</v>
      </c>
      <c r="B30" s="4" t="s">
        <v>117</v>
      </c>
      <c r="C30" s="4" t="s">
        <v>118</v>
      </c>
      <c r="D30" s="4"/>
      <c r="E30" s="4"/>
      <c r="F30" s="4" t="n">
        <v>4</v>
      </c>
      <c r="G30" s="4" t="n">
        <v>2</v>
      </c>
      <c r="H30" s="4"/>
      <c r="I30" s="4" t="n">
        <v>2</v>
      </c>
      <c r="J30" s="4" t="n">
        <v>3</v>
      </c>
      <c r="K30" s="4"/>
      <c r="L30" s="4" t="n">
        <v>5</v>
      </c>
      <c r="M30" s="4" t="n">
        <v>7</v>
      </c>
      <c r="N30" s="4" t="n">
        <v>3</v>
      </c>
      <c r="O30" s="4"/>
      <c r="P30" s="4"/>
      <c r="Q30" s="4"/>
      <c r="R30" s="4"/>
      <c r="S30" s="4"/>
      <c r="T30" s="4" t="n">
        <v>2</v>
      </c>
      <c r="U30" s="4" t="n">
        <v>12</v>
      </c>
      <c r="V30" s="4"/>
      <c r="W30" s="4" t="n">
        <v>8</v>
      </c>
      <c r="X30" s="4"/>
      <c r="Y30" s="4" t="n">
        <v>48</v>
      </c>
      <c r="Z30" s="4" t="n">
        <v>22</v>
      </c>
      <c r="AA30" s="4" t="n">
        <f aca="false">SUM(D30:Z30)</f>
        <v>118</v>
      </c>
    </row>
    <row r="31" customFormat="false" ht="15" hidden="false" customHeight="false" outlineLevel="0" collapsed="false">
      <c r="A31" s="4" t="s">
        <v>119</v>
      </c>
      <c r="B31" s="4" t="s">
        <v>120</v>
      </c>
      <c r="C31" s="4" t="s">
        <v>121</v>
      </c>
      <c r="D31" s="4"/>
      <c r="E31" s="4"/>
      <c r="F31" s="4"/>
      <c r="G31" s="4"/>
      <c r="H31" s="4"/>
      <c r="I31" s="4"/>
      <c r="J31" s="4"/>
      <c r="K31" s="4"/>
      <c r="L31" s="4"/>
      <c r="M31" s="4"/>
      <c r="N31" s="4" t="n">
        <v>2</v>
      </c>
      <c r="O31" s="4"/>
      <c r="P31" s="4"/>
      <c r="Q31" s="4"/>
      <c r="R31" s="4"/>
      <c r="S31" s="4"/>
      <c r="T31" s="4" t="n">
        <v>2</v>
      </c>
      <c r="U31" s="4"/>
      <c r="V31" s="4"/>
      <c r="W31" s="4"/>
      <c r="X31" s="4"/>
      <c r="Y31" s="4"/>
      <c r="Z31" s="4"/>
      <c r="AA31" s="4" t="n">
        <f aca="false">SUM(D31:Z31)</f>
        <v>4</v>
      </c>
    </row>
    <row r="32" customFormat="false" ht="15" hidden="false" customHeight="false" outlineLevel="0" collapsed="false">
      <c r="A32" s="4" t="s">
        <v>122</v>
      </c>
      <c r="B32" s="4" t="s">
        <v>123</v>
      </c>
      <c r="C32" s="4" t="s">
        <v>124</v>
      </c>
      <c r="D32" s="4"/>
      <c r="E32" s="4"/>
      <c r="F32" s="4"/>
      <c r="G32" s="4"/>
      <c r="H32" s="4"/>
      <c r="I32" s="4"/>
      <c r="J32" s="4"/>
      <c r="K32" s="4"/>
      <c r="L32" s="4"/>
      <c r="M32" s="4"/>
      <c r="N32" s="4"/>
      <c r="O32" s="4"/>
      <c r="P32" s="4"/>
      <c r="Q32" s="4"/>
      <c r="R32" s="4"/>
      <c r="S32" s="4"/>
      <c r="T32" s="4" t="n">
        <v>2</v>
      </c>
      <c r="U32" s="4"/>
      <c r="V32" s="4"/>
      <c r="W32" s="4"/>
      <c r="X32" s="4"/>
      <c r="Y32" s="4" t="n">
        <v>6</v>
      </c>
      <c r="Z32" s="4" t="n">
        <v>3</v>
      </c>
      <c r="AA32" s="4" t="n">
        <f aca="false">SUM(D32:Z32)</f>
        <v>11</v>
      </c>
    </row>
    <row r="33" customFormat="false" ht="15" hidden="false" customHeight="false" outlineLevel="0" collapsed="false">
      <c r="A33" s="4" t="s">
        <v>125</v>
      </c>
      <c r="B33" s="4" t="s">
        <v>126</v>
      </c>
      <c r="C33" s="4" t="s">
        <v>127</v>
      </c>
      <c r="D33" s="4"/>
      <c r="E33" s="4"/>
      <c r="F33" s="4"/>
      <c r="G33" s="4"/>
      <c r="H33" s="4"/>
      <c r="I33" s="4"/>
      <c r="J33" s="4"/>
      <c r="K33" s="4"/>
      <c r="L33" s="4"/>
      <c r="M33" s="4"/>
      <c r="N33" s="4"/>
      <c r="O33" s="4"/>
      <c r="P33" s="4"/>
      <c r="Q33" s="4"/>
      <c r="R33" s="4"/>
      <c r="S33" s="4"/>
      <c r="T33" s="4" t="n">
        <v>2</v>
      </c>
      <c r="U33" s="4"/>
      <c r="V33" s="4"/>
      <c r="W33" s="4"/>
      <c r="X33" s="4"/>
      <c r="Y33" s="4" t="n">
        <v>7</v>
      </c>
      <c r="Z33" s="4" t="n">
        <v>3</v>
      </c>
      <c r="AA33" s="4" t="n">
        <f aca="false">SUM(D33:Z33)</f>
        <v>12</v>
      </c>
    </row>
    <row r="34" customFormat="false" ht="15" hidden="false" customHeight="false" outlineLevel="0" collapsed="false">
      <c r="A34" s="4" t="s">
        <v>128</v>
      </c>
      <c r="B34" s="4" t="s">
        <v>129</v>
      </c>
      <c r="C34" s="4" t="s">
        <v>130</v>
      </c>
      <c r="D34" s="4"/>
      <c r="E34" s="4"/>
      <c r="F34" s="4"/>
      <c r="G34" s="4"/>
      <c r="H34" s="4"/>
      <c r="I34" s="4"/>
      <c r="J34" s="4"/>
      <c r="K34" s="4"/>
      <c r="L34" s="4" t="n">
        <v>3</v>
      </c>
      <c r="M34" s="4"/>
      <c r="N34" s="4"/>
      <c r="O34" s="4"/>
      <c r="P34" s="4"/>
      <c r="Q34" s="4"/>
      <c r="R34" s="4"/>
      <c r="S34" s="4"/>
      <c r="T34" s="4" t="n">
        <v>3</v>
      </c>
      <c r="U34" s="4" t="n">
        <v>3</v>
      </c>
      <c r="V34" s="4"/>
      <c r="W34" s="4" t="n">
        <v>2</v>
      </c>
      <c r="X34" s="4"/>
      <c r="Y34" s="4" t="n">
        <v>9</v>
      </c>
      <c r="Z34" s="4" t="n">
        <v>4</v>
      </c>
      <c r="AA34" s="4" t="n">
        <f aca="false">SUM(D34:Z34)</f>
        <v>24</v>
      </c>
    </row>
    <row r="35" customFormat="false" ht="15" hidden="false" customHeight="false" outlineLevel="0" collapsed="false">
      <c r="A35" s="4" t="s">
        <v>131</v>
      </c>
      <c r="B35" s="4" t="s">
        <v>132</v>
      </c>
      <c r="C35" s="4" t="s">
        <v>133</v>
      </c>
      <c r="D35" s="4"/>
      <c r="E35" s="4"/>
      <c r="F35" s="4"/>
      <c r="G35" s="4" t="n">
        <v>8</v>
      </c>
      <c r="H35" s="4"/>
      <c r="I35" s="4" t="n">
        <v>2</v>
      </c>
      <c r="J35" s="4"/>
      <c r="K35" s="4" t="n">
        <v>2</v>
      </c>
      <c r="L35" s="4"/>
      <c r="M35" s="4"/>
      <c r="N35" s="4"/>
      <c r="O35" s="4"/>
      <c r="P35" s="4" t="n">
        <v>3</v>
      </c>
      <c r="Q35" s="4"/>
      <c r="R35" s="4"/>
      <c r="S35" s="4"/>
      <c r="T35" s="4" t="n">
        <v>2</v>
      </c>
      <c r="U35" s="4"/>
      <c r="V35" s="4" t="n">
        <v>2</v>
      </c>
      <c r="W35" s="4" t="n">
        <v>3</v>
      </c>
      <c r="X35" s="4"/>
      <c r="Y35" s="4" t="n">
        <v>8</v>
      </c>
      <c r="Z35" s="4" t="n">
        <v>3</v>
      </c>
      <c r="AA35" s="4" t="n">
        <f aca="false">SUM(D35:Z35)</f>
        <v>33</v>
      </c>
    </row>
    <row r="36" customFormat="false" ht="15" hidden="false" customHeight="false" outlineLevel="0" collapsed="false">
      <c r="A36" s="4" t="s">
        <v>134</v>
      </c>
      <c r="B36" s="4" t="s">
        <v>135</v>
      </c>
      <c r="C36" s="4" t="s">
        <v>136</v>
      </c>
      <c r="D36" s="4"/>
      <c r="E36" s="4"/>
      <c r="F36" s="4" t="n">
        <v>5</v>
      </c>
      <c r="G36" s="4" t="n">
        <v>6</v>
      </c>
      <c r="H36" s="4"/>
      <c r="I36" s="4" t="n">
        <v>2</v>
      </c>
      <c r="J36" s="4"/>
      <c r="K36" s="4"/>
      <c r="L36" s="4"/>
      <c r="M36" s="4"/>
      <c r="N36" s="4"/>
      <c r="O36" s="4"/>
      <c r="P36" s="4" t="n">
        <v>3</v>
      </c>
      <c r="Q36" s="4" t="n">
        <v>7</v>
      </c>
      <c r="R36" s="4"/>
      <c r="S36" s="4"/>
      <c r="T36" s="4" t="n">
        <v>2</v>
      </c>
      <c r="U36" s="4"/>
      <c r="V36" s="4" t="n">
        <v>3</v>
      </c>
      <c r="W36" s="4"/>
      <c r="X36" s="4"/>
      <c r="Y36" s="4" t="n">
        <v>17</v>
      </c>
      <c r="Z36" s="4" t="n">
        <v>7</v>
      </c>
      <c r="AA36" s="4" t="n">
        <f aca="false">SUM(D36:Z36)</f>
        <v>52</v>
      </c>
    </row>
    <row r="37" customFormat="false" ht="15" hidden="false" customHeight="false" outlineLevel="0" collapsed="false">
      <c r="A37" s="4" t="s">
        <v>137</v>
      </c>
      <c r="B37" s="4" t="s">
        <v>138</v>
      </c>
      <c r="C37" s="4" t="s">
        <v>139</v>
      </c>
      <c r="D37" s="4"/>
      <c r="E37" s="4"/>
      <c r="F37" s="4"/>
      <c r="G37" s="4"/>
      <c r="H37" s="4"/>
      <c r="I37" s="4"/>
      <c r="J37" s="4"/>
      <c r="K37" s="4"/>
      <c r="L37" s="4"/>
      <c r="M37" s="4"/>
      <c r="N37" s="4"/>
      <c r="O37" s="4"/>
      <c r="P37" s="4"/>
      <c r="Q37" s="4"/>
      <c r="R37" s="4"/>
      <c r="S37" s="4"/>
      <c r="T37" s="4" t="n">
        <v>2</v>
      </c>
      <c r="U37" s="4"/>
      <c r="V37" s="4"/>
      <c r="W37" s="4"/>
      <c r="X37" s="4"/>
      <c r="Y37" s="4"/>
      <c r="Z37" s="4"/>
      <c r="AA37" s="4" t="n">
        <f aca="false">SUM(D37:Z37)</f>
        <v>2</v>
      </c>
    </row>
    <row r="38" customFormat="false" ht="15" hidden="false" customHeight="false" outlineLevel="0" collapsed="false">
      <c r="A38" s="4" t="s">
        <v>140</v>
      </c>
      <c r="B38" s="4" t="s">
        <v>141</v>
      </c>
      <c r="C38" s="4" t="s">
        <v>142</v>
      </c>
      <c r="D38" s="4"/>
      <c r="E38" s="4"/>
      <c r="F38" s="4"/>
      <c r="G38" s="4"/>
      <c r="H38" s="4"/>
      <c r="I38" s="4"/>
      <c r="J38" s="4"/>
      <c r="K38" s="4"/>
      <c r="L38" s="4"/>
      <c r="M38" s="4"/>
      <c r="N38" s="4"/>
      <c r="O38" s="4"/>
      <c r="P38" s="4" t="n">
        <v>15</v>
      </c>
      <c r="Q38" s="4"/>
      <c r="R38" s="4"/>
      <c r="S38" s="4"/>
      <c r="T38" s="4" t="n">
        <v>2</v>
      </c>
      <c r="U38" s="4" t="n">
        <v>7</v>
      </c>
      <c r="V38" s="4"/>
      <c r="W38" s="4" t="n">
        <v>10</v>
      </c>
      <c r="X38" s="4"/>
      <c r="Y38" s="4" t="n">
        <v>3</v>
      </c>
      <c r="Z38" s="4" t="n">
        <v>2</v>
      </c>
      <c r="AA38" s="4" t="n">
        <f aca="false">SUM(D38:Z38)</f>
        <v>39</v>
      </c>
    </row>
    <row r="39" customFormat="false" ht="15" hidden="false" customHeight="false" outlineLevel="0" collapsed="false">
      <c r="A39" s="4" t="s">
        <v>143</v>
      </c>
      <c r="B39" s="4" t="s">
        <v>144</v>
      </c>
      <c r="C39" s="4" t="s">
        <v>145</v>
      </c>
      <c r="D39" s="4"/>
      <c r="E39" s="4"/>
      <c r="F39" s="4"/>
      <c r="G39" s="4"/>
      <c r="H39" s="4"/>
      <c r="I39" s="4"/>
      <c r="J39" s="4"/>
      <c r="K39" s="4"/>
      <c r="L39" s="4" t="n">
        <v>5</v>
      </c>
      <c r="M39" s="4"/>
      <c r="N39" s="4"/>
      <c r="O39" s="4"/>
      <c r="P39" s="4"/>
      <c r="Q39" s="4"/>
      <c r="R39" s="4"/>
      <c r="S39" s="4"/>
      <c r="T39" s="4" t="n">
        <v>3</v>
      </c>
      <c r="U39" s="4"/>
      <c r="V39" s="4"/>
      <c r="W39" s="4"/>
      <c r="X39" s="4"/>
      <c r="Y39" s="4"/>
      <c r="Z39" s="4"/>
      <c r="AA39" s="4" t="n">
        <f aca="false">SUM(D39:Z39)</f>
        <v>8</v>
      </c>
    </row>
    <row r="40" customFormat="false" ht="15" hidden="false" customHeight="false" outlineLevel="0" collapsed="false">
      <c r="A40" s="4" t="s">
        <v>146</v>
      </c>
      <c r="B40" s="4" t="s">
        <v>147</v>
      </c>
      <c r="C40" s="4" t="s">
        <v>148</v>
      </c>
      <c r="D40" s="4"/>
      <c r="E40" s="4"/>
      <c r="F40" s="4"/>
      <c r="G40" s="4"/>
      <c r="H40" s="4"/>
      <c r="I40" s="4"/>
      <c r="J40" s="4"/>
      <c r="K40" s="4"/>
      <c r="L40" s="4"/>
      <c r="M40" s="4"/>
      <c r="N40" s="4"/>
      <c r="O40" s="4"/>
      <c r="P40" s="4"/>
      <c r="Q40" s="4"/>
      <c r="R40" s="4"/>
      <c r="S40" s="4"/>
      <c r="T40" s="4" t="n">
        <v>2</v>
      </c>
      <c r="U40" s="4" t="n">
        <v>2</v>
      </c>
      <c r="V40" s="4"/>
      <c r="W40" s="4"/>
      <c r="X40" s="4"/>
      <c r="Y40" s="4"/>
      <c r="Z40" s="4"/>
      <c r="AA40" s="4" t="n">
        <f aca="false">SUM(D40:Z40)</f>
        <v>4</v>
      </c>
    </row>
    <row r="41" customFormat="false" ht="15" hidden="false" customHeight="false" outlineLevel="0" collapsed="false">
      <c r="A41" s="4" t="s">
        <v>149</v>
      </c>
      <c r="B41" s="4" t="s">
        <v>150</v>
      </c>
      <c r="C41" s="4" t="s">
        <v>151</v>
      </c>
      <c r="D41" s="4"/>
      <c r="E41" s="4" t="n">
        <v>2</v>
      </c>
      <c r="F41" s="4" t="n">
        <v>2</v>
      </c>
      <c r="G41" s="4" t="n">
        <v>3</v>
      </c>
      <c r="H41" s="4"/>
      <c r="I41" s="4" t="n">
        <v>3</v>
      </c>
      <c r="J41" s="4"/>
      <c r="K41" s="4"/>
      <c r="L41" s="4" t="n">
        <v>2</v>
      </c>
      <c r="M41" s="4"/>
      <c r="N41" s="4" t="n">
        <v>2</v>
      </c>
      <c r="O41" s="4" t="n">
        <v>2</v>
      </c>
      <c r="P41" s="4" t="n">
        <v>4</v>
      </c>
      <c r="Q41" s="4"/>
      <c r="R41" s="4"/>
      <c r="S41" s="4" t="n">
        <v>2</v>
      </c>
      <c r="T41" s="4" t="n">
        <v>2</v>
      </c>
      <c r="U41" s="4"/>
      <c r="V41" s="4" t="n">
        <v>2</v>
      </c>
      <c r="W41" s="4" t="n">
        <v>2</v>
      </c>
      <c r="X41" s="4"/>
      <c r="Y41" s="4" t="n">
        <v>4</v>
      </c>
      <c r="Z41" s="4"/>
      <c r="AA41" s="4" t="n">
        <f aca="false">SUM(D41:Z41)</f>
        <v>32</v>
      </c>
    </row>
    <row r="42" customFormat="false" ht="15" hidden="false" customHeight="false" outlineLevel="0" collapsed="false">
      <c r="A42" s="4" t="s">
        <v>152</v>
      </c>
      <c r="B42" s="4" t="s">
        <v>153</v>
      </c>
      <c r="C42" s="4" t="s">
        <v>154</v>
      </c>
      <c r="D42" s="4"/>
      <c r="E42" s="4"/>
      <c r="F42" s="4"/>
      <c r="G42" s="4"/>
      <c r="H42" s="4"/>
      <c r="I42" s="4"/>
      <c r="J42" s="4"/>
      <c r="K42" s="4"/>
      <c r="L42" s="4"/>
      <c r="M42" s="4"/>
      <c r="N42" s="4"/>
      <c r="O42" s="4"/>
      <c r="P42" s="4"/>
      <c r="Q42" s="4"/>
      <c r="R42" s="4"/>
      <c r="S42" s="4"/>
      <c r="T42" s="4" t="n">
        <v>2</v>
      </c>
      <c r="U42" s="4"/>
      <c r="V42" s="4"/>
      <c r="W42" s="4"/>
      <c r="X42" s="4"/>
      <c r="Y42" s="4" t="n">
        <v>5</v>
      </c>
      <c r="Z42" s="4" t="n">
        <v>2</v>
      </c>
      <c r="AA42" s="4" t="n">
        <f aca="false">SUM(D42:Z42)</f>
        <v>9</v>
      </c>
    </row>
    <row r="43" customFormat="false" ht="15" hidden="false" customHeight="false" outlineLevel="0" collapsed="false">
      <c r="A43" s="4" t="s">
        <v>155</v>
      </c>
      <c r="B43" s="4" t="s">
        <v>156</v>
      </c>
      <c r="C43" s="4" t="s">
        <v>157</v>
      </c>
      <c r="D43" s="4"/>
      <c r="E43" s="4"/>
      <c r="F43" s="4"/>
      <c r="G43" s="4" t="n">
        <v>12</v>
      </c>
      <c r="H43" s="4"/>
      <c r="I43" s="4"/>
      <c r="J43" s="4"/>
      <c r="K43" s="4"/>
      <c r="L43" s="4" t="n">
        <v>4</v>
      </c>
      <c r="M43" s="4"/>
      <c r="N43" s="4"/>
      <c r="O43" s="4"/>
      <c r="P43" s="4"/>
      <c r="Q43" s="4"/>
      <c r="R43" s="4"/>
      <c r="S43" s="4"/>
      <c r="T43" s="4" t="n">
        <v>2</v>
      </c>
      <c r="U43" s="4"/>
      <c r="V43" s="4"/>
      <c r="W43" s="4" t="n">
        <v>4</v>
      </c>
      <c r="X43" s="4"/>
      <c r="Y43" s="4" t="n">
        <v>4</v>
      </c>
      <c r="Z43" s="4" t="n">
        <v>2</v>
      </c>
      <c r="AA43" s="4" t="n">
        <f aca="false">SUM(D43:Z43)</f>
        <v>28</v>
      </c>
    </row>
    <row r="44" customFormat="false" ht="15" hidden="false" customHeight="false" outlineLevel="0" collapsed="false">
      <c r="A44" s="4" t="s">
        <v>158</v>
      </c>
      <c r="B44" s="4" t="s">
        <v>159</v>
      </c>
      <c r="C44" s="4" t="s">
        <v>160</v>
      </c>
      <c r="D44" s="4"/>
      <c r="E44" s="4"/>
      <c r="F44" s="4" t="n">
        <v>7</v>
      </c>
      <c r="G44" s="4" t="n">
        <v>6</v>
      </c>
      <c r="H44" s="4"/>
      <c r="I44" s="4"/>
      <c r="J44" s="4"/>
      <c r="K44" s="4"/>
      <c r="L44" s="4" t="n">
        <v>3</v>
      </c>
      <c r="M44" s="4"/>
      <c r="N44" s="4"/>
      <c r="O44" s="4"/>
      <c r="P44" s="4"/>
      <c r="Q44" s="4"/>
      <c r="R44" s="4"/>
      <c r="S44" s="4"/>
      <c r="T44" s="4" t="n">
        <v>2</v>
      </c>
      <c r="U44" s="4"/>
      <c r="V44" s="4"/>
      <c r="W44" s="4" t="n">
        <v>2</v>
      </c>
      <c r="X44" s="4"/>
      <c r="Y44" s="4"/>
      <c r="Z44" s="4"/>
      <c r="AA44" s="4" t="n">
        <f aca="false">SUM(D44:Z44)</f>
        <v>20</v>
      </c>
    </row>
    <row r="45" customFormat="false" ht="15" hidden="false" customHeight="false" outlineLevel="0" collapsed="false">
      <c r="A45" s="4" t="s">
        <v>161</v>
      </c>
      <c r="B45" s="4" t="s">
        <v>162</v>
      </c>
      <c r="C45" s="4" t="s">
        <v>163</v>
      </c>
      <c r="D45" s="4"/>
      <c r="E45" s="4"/>
      <c r="F45" s="4"/>
      <c r="G45" s="4"/>
      <c r="H45" s="4"/>
      <c r="I45" s="4"/>
      <c r="J45" s="4"/>
      <c r="K45" s="4"/>
      <c r="L45" s="4" t="n">
        <v>3</v>
      </c>
      <c r="M45" s="4"/>
      <c r="N45" s="4"/>
      <c r="O45" s="4"/>
      <c r="P45" s="4"/>
      <c r="Q45" s="4"/>
      <c r="R45" s="4"/>
      <c r="S45" s="4"/>
      <c r="T45" s="4"/>
      <c r="U45" s="4"/>
      <c r="V45" s="4"/>
      <c r="W45" s="4"/>
      <c r="X45" s="4"/>
      <c r="Y45" s="4"/>
      <c r="Z45" s="4"/>
      <c r="AA45" s="4" t="n">
        <f aca="false">SUM(D45:Z45)</f>
        <v>3</v>
      </c>
    </row>
    <row r="46" customFormat="false" ht="15" hidden="false" customHeight="false" outlineLevel="0" collapsed="false">
      <c r="A46" s="4" t="s">
        <v>164</v>
      </c>
      <c r="B46" s="4" t="s">
        <v>165</v>
      </c>
      <c r="C46" s="4" t="s">
        <v>166</v>
      </c>
      <c r="D46" s="4"/>
      <c r="E46" s="4"/>
      <c r="F46" s="4"/>
      <c r="G46" s="4"/>
      <c r="H46" s="4"/>
      <c r="I46" s="4"/>
      <c r="J46" s="4"/>
      <c r="K46" s="4"/>
      <c r="L46" s="4"/>
      <c r="M46" s="4"/>
      <c r="N46" s="4"/>
      <c r="O46" s="4"/>
      <c r="P46" s="4"/>
      <c r="Q46" s="4"/>
      <c r="R46" s="4"/>
      <c r="S46" s="4"/>
      <c r="T46" s="4" t="n">
        <v>2</v>
      </c>
      <c r="U46" s="4"/>
      <c r="V46" s="4"/>
      <c r="W46" s="4"/>
      <c r="X46" s="4"/>
      <c r="Y46" s="4" t="n">
        <v>4</v>
      </c>
      <c r="Z46" s="4"/>
      <c r="AA46" s="4" t="n">
        <f aca="false">SUM(D46:Z46)</f>
        <v>6</v>
      </c>
    </row>
    <row r="47" customFormat="false" ht="15" hidden="false" customHeight="false" outlineLevel="0" collapsed="false">
      <c r="A47" s="4" t="s">
        <v>167</v>
      </c>
      <c r="B47" s="4" t="s">
        <v>168</v>
      </c>
      <c r="C47" s="4" t="s">
        <v>169</v>
      </c>
      <c r="D47" s="4"/>
      <c r="E47" s="4"/>
      <c r="F47" s="4"/>
      <c r="G47" s="4"/>
      <c r="H47" s="4"/>
      <c r="I47" s="4"/>
      <c r="J47" s="4"/>
      <c r="K47" s="4"/>
      <c r="L47" s="4"/>
      <c r="M47" s="4" t="n">
        <v>3</v>
      </c>
      <c r="N47" s="4"/>
      <c r="O47" s="4"/>
      <c r="P47" s="4"/>
      <c r="Q47" s="4"/>
      <c r="R47" s="4"/>
      <c r="S47" s="4"/>
      <c r="T47" s="4"/>
      <c r="U47" s="4"/>
      <c r="V47" s="4"/>
      <c r="W47" s="4"/>
      <c r="X47" s="4"/>
      <c r="Y47" s="4"/>
      <c r="Z47" s="4"/>
      <c r="AA47" s="4" t="n">
        <f aca="false">SUM(D47:Z47)</f>
        <v>3</v>
      </c>
    </row>
    <row r="48" customFormat="false" ht="15" hidden="false" customHeight="false" outlineLevel="0" collapsed="false">
      <c r="A48" s="4" t="s">
        <v>170</v>
      </c>
      <c r="B48" s="4" t="s">
        <v>171</v>
      </c>
      <c r="C48" s="4" t="s">
        <v>172</v>
      </c>
      <c r="D48" s="4" t="n">
        <v>12</v>
      </c>
      <c r="E48" s="4"/>
      <c r="F48" s="4"/>
      <c r="G48" s="4" t="n">
        <v>7</v>
      </c>
      <c r="H48" s="4"/>
      <c r="I48" s="4" t="n">
        <v>2</v>
      </c>
      <c r="J48" s="4" t="n">
        <v>10</v>
      </c>
      <c r="K48" s="4" t="n">
        <v>8</v>
      </c>
      <c r="L48" s="4"/>
      <c r="M48" s="4" t="n">
        <v>12</v>
      </c>
      <c r="N48" s="4"/>
      <c r="O48" s="4"/>
      <c r="P48" s="4"/>
      <c r="Q48" s="4"/>
      <c r="R48" s="4"/>
      <c r="S48" s="4"/>
      <c r="T48" s="4" t="n">
        <v>2</v>
      </c>
      <c r="U48" s="4"/>
      <c r="V48" s="4" t="n">
        <v>15</v>
      </c>
      <c r="W48" s="4"/>
      <c r="X48" s="4"/>
      <c r="Y48" s="4" t="n">
        <v>6</v>
      </c>
      <c r="Z48" s="4" t="n">
        <v>2</v>
      </c>
      <c r="AA48" s="4" t="n">
        <f aca="false">SUM(D48:Z48)</f>
        <v>76</v>
      </c>
    </row>
    <row r="49" customFormat="false" ht="15" hidden="false" customHeight="false" outlineLevel="0" collapsed="false">
      <c r="A49" s="4" t="s">
        <v>173</v>
      </c>
      <c r="B49" s="4" t="s">
        <v>174</v>
      </c>
      <c r="C49" s="4" t="s">
        <v>175</v>
      </c>
      <c r="D49" s="4" t="n">
        <v>10</v>
      </c>
      <c r="E49" s="4"/>
      <c r="F49" s="4" t="n">
        <v>4</v>
      </c>
      <c r="G49" s="4" t="n">
        <v>11</v>
      </c>
      <c r="H49" s="4"/>
      <c r="I49" s="4" t="n">
        <v>2</v>
      </c>
      <c r="J49" s="4"/>
      <c r="K49" s="4"/>
      <c r="L49" s="4" t="n">
        <v>6</v>
      </c>
      <c r="M49" s="4"/>
      <c r="N49" s="4" t="n">
        <v>5</v>
      </c>
      <c r="O49" s="4" t="n">
        <v>4</v>
      </c>
      <c r="P49" s="4" t="n">
        <v>6</v>
      </c>
      <c r="Q49" s="4"/>
      <c r="R49" s="4"/>
      <c r="S49" s="4"/>
      <c r="T49" s="4" t="n">
        <v>2</v>
      </c>
      <c r="U49" s="4" t="n">
        <v>5</v>
      </c>
      <c r="V49" s="4" t="n">
        <v>13</v>
      </c>
      <c r="W49" s="4" t="n">
        <v>4</v>
      </c>
      <c r="X49" s="4"/>
      <c r="Y49" s="4" t="n">
        <v>19</v>
      </c>
      <c r="Z49" s="4" t="n">
        <v>8</v>
      </c>
      <c r="AA49" s="4" t="n">
        <f aca="false">SUM(D49:Z49)</f>
        <v>99</v>
      </c>
    </row>
    <row r="50" customFormat="false" ht="15" hidden="false" customHeight="false" outlineLevel="0" collapsed="false">
      <c r="A50" s="4" t="s">
        <v>176</v>
      </c>
      <c r="B50" s="4" t="s">
        <v>177</v>
      </c>
      <c r="C50" s="4" t="s">
        <v>178</v>
      </c>
      <c r="D50" s="4"/>
      <c r="E50" s="4"/>
      <c r="F50" s="4"/>
      <c r="G50" s="4"/>
      <c r="H50" s="4"/>
      <c r="I50" s="4"/>
      <c r="J50" s="4"/>
      <c r="K50" s="4" t="n">
        <v>2</v>
      </c>
      <c r="L50" s="4"/>
      <c r="M50" s="4"/>
      <c r="N50" s="4"/>
      <c r="O50" s="4"/>
      <c r="P50" s="4"/>
      <c r="Q50" s="4"/>
      <c r="R50" s="4"/>
      <c r="S50" s="4"/>
      <c r="T50" s="4"/>
      <c r="U50" s="4"/>
      <c r="V50" s="4"/>
      <c r="W50" s="4"/>
      <c r="X50" s="4"/>
      <c r="Y50" s="4"/>
      <c r="Z50" s="4"/>
      <c r="AA50" s="4" t="n">
        <f aca="false">SUM(D50:Z50)</f>
        <v>2</v>
      </c>
    </row>
    <row r="51" customFormat="false" ht="15" hidden="false" customHeight="false" outlineLevel="0" collapsed="false">
      <c r="A51" s="4" t="s">
        <v>179</v>
      </c>
      <c r="B51" s="4" t="s">
        <v>180</v>
      </c>
      <c r="C51" s="4" t="s">
        <v>181</v>
      </c>
      <c r="D51" s="4" t="n">
        <v>3</v>
      </c>
      <c r="E51" s="4" t="n">
        <v>2</v>
      </c>
      <c r="F51" s="4" t="n">
        <v>4</v>
      </c>
      <c r="G51" s="4" t="n">
        <v>17</v>
      </c>
      <c r="H51" s="4" t="n">
        <v>2</v>
      </c>
      <c r="I51" s="4" t="n">
        <v>3</v>
      </c>
      <c r="J51" s="4" t="n">
        <v>9</v>
      </c>
      <c r="K51" s="4" t="n">
        <v>11</v>
      </c>
      <c r="L51" s="4" t="n">
        <v>7</v>
      </c>
      <c r="M51" s="4" t="n">
        <v>7</v>
      </c>
      <c r="N51" s="4" t="n">
        <v>10</v>
      </c>
      <c r="O51" s="4" t="n">
        <v>3</v>
      </c>
      <c r="P51" s="4" t="n">
        <v>2</v>
      </c>
      <c r="Q51" s="4" t="n">
        <v>2</v>
      </c>
      <c r="R51" s="4"/>
      <c r="S51" s="4" t="n">
        <v>2</v>
      </c>
      <c r="T51" s="4" t="n">
        <v>2</v>
      </c>
      <c r="U51" s="4" t="n">
        <v>21</v>
      </c>
      <c r="V51" s="4"/>
      <c r="W51" s="4" t="n">
        <v>2</v>
      </c>
      <c r="X51" s="4"/>
      <c r="Y51" s="4" t="n">
        <v>40</v>
      </c>
      <c r="Z51" s="4" t="n">
        <v>18</v>
      </c>
      <c r="AA51" s="4" t="n">
        <f aca="false">SUM(D51:Z51)</f>
        <v>167</v>
      </c>
    </row>
    <row r="52" customFormat="false" ht="15" hidden="false" customHeight="false" outlineLevel="0" collapsed="false">
      <c r="A52" s="4" t="s">
        <v>183</v>
      </c>
      <c r="B52" s="4" t="s">
        <v>184</v>
      </c>
      <c r="C52" s="4" t="s">
        <v>185</v>
      </c>
      <c r="D52" s="4"/>
      <c r="E52" s="4"/>
      <c r="F52" s="4"/>
      <c r="G52" s="4"/>
      <c r="H52" s="4"/>
      <c r="I52" s="4"/>
      <c r="J52" s="4" t="n">
        <v>5</v>
      </c>
      <c r="K52" s="4"/>
      <c r="L52" s="4"/>
      <c r="M52" s="4"/>
      <c r="N52" s="4"/>
      <c r="O52" s="4"/>
      <c r="P52" s="4"/>
      <c r="Q52" s="4"/>
      <c r="R52" s="4"/>
      <c r="S52" s="4"/>
      <c r="T52" s="4"/>
      <c r="U52" s="4"/>
      <c r="V52" s="4"/>
      <c r="W52" s="4"/>
      <c r="X52" s="4"/>
      <c r="Y52" s="4" t="n">
        <v>3</v>
      </c>
      <c r="Z52" s="4" t="n">
        <v>2</v>
      </c>
      <c r="AA52" s="4" t="n">
        <f aca="false">SUM(D52:Z52)</f>
        <v>10</v>
      </c>
    </row>
    <row r="53" customFormat="false" ht="15" hidden="false" customHeight="false" outlineLevel="0" collapsed="false">
      <c r="A53" s="4" t="s">
        <v>186</v>
      </c>
      <c r="B53" s="4" t="s">
        <v>187</v>
      </c>
      <c r="C53" s="4" t="s">
        <v>188</v>
      </c>
      <c r="D53" s="4"/>
      <c r="E53" s="4"/>
      <c r="F53" s="4" t="n">
        <v>2</v>
      </c>
      <c r="G53" s="4" t="n">
        <v>2</v>
      </c>
      <c r="H53" s="4"/>
      <c r="I53" s="4" t="n">
        <v>2</v>
      </c>
      <c r="J53" s="4"/>
      <c r="K53" s="4"/>
      <c r="L53" s="4" t="n">
        <v>2</v>
      </c>
      <c r="M53" s="4"/>
      <c r="N53" s="4" t="n">
        <v>2</v>
      </c>
      <c r="O53" s="4" t="n">
        <v>2</v>
      </c>
      <c r="P53" s="4" t="n">
        <v>2</v>
      </c>
      <c r="Q53" s="4"/>
      <c r="R53" s="4"/>
      <c r="S53" s="4"/>
      <c r="T53" s="4" t="n">
        <v>2</v>
      </c>
      <c r="U53" s="4" t="n">
        <v>2</v>
      </c>
      <c r="V53" s="4" t="n">
        <v>2</v>
      </c>
      <c r="W53" s="4" t="n">
        <v>2</v>
      </c>
      <c r="X53" s="4"/>
      <c r="Y53" s="4" t="n">
        <v>2</v>
      </c>
      <c r="Z53" s="4"/>
      <c r="AA53" s="4" t="n">
        <f aca="false">SUM(D53:Z53)</f>
        <v>24</v>
      </c>
    </row>
    <row r="54" customFormat="false" ht="15" hidden="false" customHeight="false" outlineLevel="0" collapsed="false">
      <c r="A54" s="4" t="s">
        <v>189</v>
      </c>
      <c r="B54" s="4" t="s">
        <v>190</v>
      </c>
      <c r="C54" s="4" t="s">
        <v>191</v>
      </c>
      <c r="D54" s="4"/>
      <c r="E54" s="4"/>
      <c r="F54" s="4"/>
      <c r="G54" s="4" t="n">
        <v>6</v>
      </c>
      <c r="H54" s="4"/>
      <c r="I54" s="4" t="n">
        <v>2</v>
      </c>
      <c r="J54" s="4"/>
      <c r="K54" s="4"/>
      <c r="L54" s="4" t="n">
        <v>5</v>
      </c>
      <c r="M54" s="4"/>
      <c r="N54" s="4"/>
      <c r="O54" s="4"/>
      <c r="P54" s="4" t="n">
        <v>5</v>
      </c>
      <c r="Q54" s="4"/>
      <c r="R54" s="4"/>
      <c r="S54" s="4"/>
      <c r="T54" s="4" t="n">
        <v>2</v>
      </c>
      <c r="U54" s="4" t="n">
        <v>7</v>
      </c>
      <c r="V54" s="4"/>
      <c r="W54" s="4" t="n">
        <v>7</v>
      </c>
      <c r="X54" s="4"/>
      <c r="Y54" s="4" t="n">
        <v>10</v>
      </c>
      <c r="Z54" s="4" t="n">
        <v>4</v>
      </c>
      <c r="AA54" s="4" t="n">
        <f aca="false">SUM(D54:Z54)</f>
        <v>48</v>
      </c>
    </row>
    <row r="55" customFormat="false" ht="15" hidden="false" customHeight="false" outlineLevel="0" collapsed="false">
      <c r="A55" s="4" t="s">
        <v>192</v>
      </c>
      <c r="B55" s="4" t="s">
        <v>193</v>
      </c>
      <c r="C55" s="4" t="s">
        <v>194</v>
      </c>
      <c r="D55" s="4"/>
      <c r="E55" s="4"/>
      <c r="F55" s="4" t="n">
        <v>2</v>
      </c>
      <c r="G55" s="4"/>
      <c r="H55" s="4"/>
      <c r="I55" s="4"/>
      <c r="J55" s="4"/>
      <c r="K55" s="4"/>
      <c r="L55" s="4"/>
      <c r="M55" s="4"/>
      <c r="N55" s="4"/>
      <c r="O55" s="4"/>
      <c r="P55" s="4"/>
      <c r="Q55" s="4"/>
      <c r="R55" s="4"/>
      <c r="S55" s="4"/>
      <c r="T55" s="4" t="n">
        <v>2</v>
      </c>
      <c r="U55" s="4" t="n">
        <v>4</v>
      </c>
      <c r="V55" s="4"/>
      <c r="W55" s="4" t="n">
        <v>11</v>
      </c>
      <c r="X55" s="4"/>
      <c r="Y55" s="4" t="n">
        <v>8</v>
      </c>
      <c r="Z55" s="4" t="n">
        <v>3</v>
      </c>
      <c r="AA55" s="4" t="n">
        <f aca="false">SUM(D55:Z55)</f>
        <v>30</v>
      </c>
    </row>
    <row r="56" customFormat="false" ht="15" hidden="false" customHeight="false" outlineLevel="0" collapsed="false">
      <c r="A56" s="4" t="s">
        <v>195</v>
      </c>
      <c r="B56" s="4" t="s">
        <v>196</v>
      </c>
      <c r="C56" s="4" t="s">
        <v>197</v>
      </c>
      <c r="D56" s="4"/>
      <c r="E56" s="4"/>
      <c r="F56" s="4"/>
      <c r="G56" s="4"/>
      <c r="H56" s="4"/>
      <c r="I56" s="4"/>
      <c r="J56" s="4"/>
      <c r="K56" s="4"/>
      <c r="L56" s="4"/>
      <c r="M56" s="4"/>
      <c r="N56" s="4"/>
      <c r="O56" s="4"/>
      <c r="P56" s="4"/>
      <c r="Q56" s="4"/>
      <c r="R56" s="4"/>
      <c r="S56" s="4"/>
      <c r="T56" s="4" t="n">
        <v>2</v>
      </c>
      <c r="U56" s="4"/>
      <c r="V56" s="4"/>
      <c r="W56" s="4"/>
      <c r="X56" s="4"/>
      <c r="Y56" s="4" t="n">
        <v>5</v>
      </c>
      <c r="Z56" s="4" t="n">
        <v>2</v>
      </c>
      <c r="AA56" s="4" t="n">
        <f aca="false">SUM(D56:Z56)</f>
        <v>9</v>
      </c>
    </row>
    <row r="57" customFormat="false" ht="15" hidden="false" customHeight="false" outlineLevel="0" collapsed="false">
      <c r="A57" s="4" t="s">
        <v>198</v>
      </c>
      <c r="B57" s="4" t="s">
        <v>199</v>
      </c>
      <c r="C57" s="4" t="s">
        <v>200</v>
      </c>
      <c r="D57" s="4"/>
      <c r="E57" s="4"/>
      <c r="F57" s="4"/>
      <c r="G57" s="4"/>
      <c r="H57" s="4"/>
      <c r="I57" s="4"/>
      <c r="J57" s="4"/>
      <c r="K57" s="4"/>
      <c r="L57" s="4"/>
      <c r="M57" s="4"/>
      <c r="N57" s="4"/>
      <c r="O57" s="4"/>
      <c r="P57" s="4"/>
      <c r="Q57" s="4"/>
      <c r="R57" s="4"/>
      <c r="S57" s="4"/>
      <c r="T57" s="4" t="n">
        <v>3</v>
      </c>
      <c r="U57" s="4"/>
      <c r="V57" s="4"/>
      <c r="W57" s="4"/>
      <c r="X57" s="4"/>
      <c r="Y57" s="4"/>
      <c r="Z57" s="4"/>
      <c r="AA57" s="4" t="n">
        <f aca="false">SUM(D57:Z57)</f>
        <v>3</v>
      </c>
    </row>
    <row r="58" customFormat="false" ht="15" hidden="false" customHeight="false" outlineLevel="0" collapsed="false">
      <c r="A58" s="4" t="s">
        <v>201</v>
      </c>
      <c r="B58" s="4" t="s">
        <v>202</v>
      </c>
      <c r="C58" s="4" t="s">
        <v>203</v>
      </c>
      <c r="D58" s="4"/>
      <c r="E58" s="4"/>
      <c r="F58" s="4"/>
      <c r="G58" s="4" t="n">
        <v>2</v>
      </c>
      <c r="H58" s="4"/>
      <c r="I58" s="4" t="n">
        <v>2</v>
      </c>
      <c r="J58" s="4"/>
      <c r="K58" s="4" t="n">
        <v>2</v>
      </c>
      <c r="L58" s="4"/>
      <c r="M58" s="4"/>
      <c r="N58" s="4"/>
      <c r="O58" s="4"/>
      <c r="P58" s="4" t="n">
        <v>5</v>
      </c>
      <c r="Q58" s="4"/>
      <c r="R58" s="4"/>
      <c r="S58" s="4"/>
      <c r="T58" s="4"/>
      <c r="U58" s="4" t="n">
        <v>2</v>
      </c>
      <c r="V58" s="4" t="n">
        <v>2</v>
      </c>
      <c r="W58" s="4" t="n">
        <v>2</v>
      </c>
      <c r="X58" s="4"/>
      <c r="Y58" s="4" t="n">
        <v>4</v>
      </c>
      <c r="Z58" s="4"/>
      <c r="AA58" s="4" t="n">
        <f aca="false">SUM(D58:Z58)</f>
        <v>21</v>
      </c>
    </row>
    <row r="59" customFormat="false" ht="15" hidden="false" customHeight="false" outlineLevel="0" collapsed="false">
      <c r="A59" s="4" t="s">
        <v>204</v>
      </c>
      <c r="B59" s="4" t="s">
        <v>205</v>
      </c>
      <c r="C59" s="4" t="s">
        <v>206</v>
      </c>
      <c r="D59" s="4"/>
      <c r="E59" s="4"/>
      <c r="F59" s="4"/>
      <c r="G59" s="4"/>
      <c r="H59" s="4"/>
      <c r="I59" s="4"/>
      <c r="J59" s="4"/>
      <c r="K59" s="4"/>
      <c r="L59" s="4"/>
      <c r="M59" s="4"/>
      <c r="N59" s="4"/>
      <c r="O59" s="4"/>
      <c r="P59" s="4"/>
      <c r="Q59" s="4"/>
      <c r="R59" s="4"/>
      <c r="S59" s="4"/>
      <c r="T59" s="4" t="n">
        <v>5</v>
      </c>
      <c r="U59" s="4"/>
      <c r="V59" s="4"/>
      <c r="W59" s="4"/>
      <c r="X59" s="4"/>
      <c r="Y59" s="4"/>
      <c r="Z59" s="4"/>
      <c r="AA59" s="4" t="n">
        <f aca="false">SUM(D59:Z59)</f>
        <v>5</v>
      </c>
    </row>
    <row r="60" customFormat="false" ht="15" hidden="false" customHeight="false" outlineLevel="0" collapsed="false">
      <c r="A60" s="4" t="s">
        <v>207</v>
      </c>
      <c r="B60" s="4" t="s">
        <v>208</v>
      </c>
      <c r="C60" s="4" t="s">
        <v>209</v>
      </c>
      <c r="D60" s="4"/>
      <c r="E60" s="4"/>
      <c r="F60" s="4" t="n">
        <v>2</v>
      </c>
      <c r="G60" s="4" t="n">
        <v>7</v>
      </c>
      <c r="H60" s="4"/>
      <c r="I60" s="4" t="n">
        <v>2</v>
      </c>
      <c r="J60" s="4"/>
      <c r="K60" s="4" t="n">
        <v>31</v>
      </c>
      <c r="L60" s="4" t="n">
        <v>8</v>
      </c>
      <c r="M60" s="4"/>
      <c r="N60" s="4"/>
      <c r="O60" s="4" t="n">
        <v>7</v>
      </c>
      <c r="P60" s="4"/>
      <c r="Q60" s="4" t="n">
        <v>15</v>
      </c>
      <c r="R60" s="4"/>
      <c r="S60" s="4" t="n">
        <v>4</v>
      </c>
      <c r="T60" s="4" t="n">
        <v>2</v>
      </c>
      <c r="U60" s="4" t="n">
        <v>17</v>
      </c>
      <c r="V60" s="4" t="n">
        <v>11</v>
      </c>
      <c r="W60" s="4"/>
      <c r="X60" s="4"/>
      <c r="Y60" s="4" t="n">
        <v>43</v>
      </c>
      <c r="Z60" s="4" t="n">
        <v>19</v>
      </c>
      <c r="AA60" s="4" t="n">
        <f aca="false">SUM(D60:Z60)</f>
        <v>168</v>
      </c>
    </row>
    <row r="61" customFormat="false" ht="15" hidden="false" customHeight="false" outlineLevel="0" collapsed="false">
      <c r="A61" s="4" t="s">
        <v>210</v>
      </c>
      <c r="B61" s="4" t="s">
        <v>211</v>
      </c>
      <c r="C61" s="4" t="s">
        <v>212</v>
      </c>
      <c r="D61" s="4"/>
      <c r="E61" s="4"/>
      <c r="F61" s="4" t="n">
        <v>2</v>
      </c>
      <c r="G61" s="4" t="n">
        <v>8</v>
      </c>
      <c r="H61" s="4" t="n">
        <v>2</v>
      </c>
      <c r="I61" s="4" t="n">
        <v>2</v>
      </c>
      <c r="J61" s="4"/>
      <c r="K61" s="4" t="n">
        <v>21</v>
      </c>
      <c r="L61" s="4" t="n">
        <v>7</v>
      </c>
      <c r="M61" s="4"/>
      <c r="N61" s="4" t="n">
        <v>2</v>
      </c>
      <c r="O61" s="4"/>
      <c r="P61" s="4" t="n">
        <v>5</v>
      </c>
      <c r="Q61" s="4"/>
      <c r="R61" s="4"/>
      <c r="S61" s="4"/>
      <c r="T61" s="4" t="n">
        <v>2</v>
      </c>
      <c r="U61" s="4"/>
      <c r="V61" s="4" t="n">
        <v>27</v>
      </c>
      <c r="W61" s="4" t="n">
        <v>5</v>
      </c>
      <c r="X61" s="4"/>
      <c r="Y61" s="4" t="n">
        <v>47</v>
      </c>
      <c r="Z61" s="4" t="n">
        <v>21</v>
      </c>
      <c r="AA61" s="4" t="n">
        <f aca="false">SUM(D61:Z61)</f>
        <v>151</v>
      </c>
    </row>
    <row r="62" customFormat="false" ht="15" hidden="false" customHeight="false" outlineLevel="0" collapsed="false">
      <c r="A62" s="4" t="s">
        <v>213</v>
      </c>
      <c r="B62" s="4" t="s">
        <v>214</v>
      </c>
      <c r="C62" s="4" t="s">
        <v>215</v>
      </c>
      <c r="D62" s="4"/>
      <c r="E62" s="4"/>
      <c r="F62" s="4"/>
      <c r="G62" s="4"/>
      <c r="H62" s="4"/>
      <c r="I62" s="4"/>
      <c r="J62" s="4"/>
      <c r="K62" s="4"/>
      <c r="L62" s="4"/>
      <c r="M62" s="4"/>
      <c r="N62" s="4"/>
      <c r="O62" s="4"/>
      <c r="P62" s="4"/>
      <c r="Q62" s="4"/>
      <c r="R62" s="4"/>
      <c r="S62" s="4"/>
      <c r="T62" s="4" t="n">
        <v>4</v>
      </c>
      <c r="U62" s="4"/>
      <c r="V62" s="4"/>
      <c r="W62" s="4"/>
      <c r="X62" s="4"/>
      <c r="Y62" s="4"/>
      <c r="Z62" s="4"/>
      <c r="AA62" s="4" t="n">
        <f aca="false">SUM(D62:Z62)</f>
        <v>4</v>
      </c>
    </row>
    <row r="63" customFormat="false" ht="15" hidden="false" customHeight="false" outlineLevel="0" collapsed="false">
      <c r="A63" s="4" t="s">
        <v>216</v>
      </c>
      <c r="B63" s="4" t="s">
        <v>217</v>
      </c>
      <c r="C63" s="4" t="s">
        <v>218</v>
      </c>
      <c r="D63" s="4"/>
      <c r="E63" s="4"/>
      <c r="F63" s="4" t="n">
        <v>2</v>
      </c>
      <c r="G63" s="4" t="n">
        <v>2</v>
      </c>
      <c r="H63" s="4"/>
      <c r="I63" s="4"/>
      <c r="J63" s="4"/>
      <c r="K63" s="4" t="n">
        <v>2</v>
      </c>
      <c r="L63" s="4"/>
      <c r="M63" s="4"/>
      <c r="N63" s="4"/>
      <c r="O63" s="4"/>
      <c r="P63" s="4"/>
      <c r="Q63" s="4"/>
      <c r="R63" s="4"/>
      <c r="S63" s="4"/>
      <c r="T63" s="4" t="n">
        <v>2</v>
      </c>
      <c r="U63" s="4" t="n">
        <v>2</v>
      </c>
      <c r="V63" s="4"/>
      <c r="W63" s="4" t="n">
        <v>2</v>
      </c>
      <c r="X63" s="4"/>
      <c r="Y63" s="4"/>
      <c r="Z63" s="4"/>
      <c r="AA63" s="4" t="n">
        <f aca="false">SUM(D63:Z63)</f>
        <v>12</v>
      </c>
    </row>
    <row r="64" customFormat="false" ht="15" hidden="false" customHeight="false" outlineLevel="0" collapsed="false">
      <c r="A64" s="4" t="s">
        <v>219</v>
      </c>
      <c r="B64" s="4" t="s">
        <v>220</v>
      </c>
      <c r="C64" s="4" t="s">
        <v>221</v>
      </c>
      <c r="D64" s="4"/>
      <c r="E64" s="4"/>
      <c r="F64" s="4"/>
      <c r="G64" s="4"/>
      <c r="H64" s="4" t="n">
        <v>2</v>
      </c>
      <c r="I64" s="4" t="n">
        <v>2</v>
      </c>
      <c r="J64" s="4"/>
      <c r="K64" s="4"/>
      <c r="L64" s="4" t="n">
        <v>2</v>
      </c>
      <c r="M64" s="4"/>
      <c r="N64" s="4"/>
      <c r="O64" s="4"/>
      <c r="P64" s="4"/>
      <c r="Q64" s="4"/>
      <c r="R64" s="4"/>
      <c r="S64" s="4"/>
      <c r="T64" s="4" t="n">
        <v>2</v>
      </c>
      <c r="U64" s="4"/>
      <c r="V64" s="4"/>
      <c r="W64" s="4"/>
      <c r="X64" s="4"/>
      <c r="Y64" s="4"/>
      <c r="Z64" s="4"/>
      <c r="AA64" s="4" t="n">
        <f aca="false">SUM(D64:Z64)</f>
        <v>8</v>
      </c>
    </row>
    <row r="65" customFormat="false" ht="15" hidden="false" customHeight="false" outlineLevel="0" collapsed="false">
      <c r="A65" s="4" t="s">
        <v>222</v>
      </c>
      <c r="B65" s="4" t="s">
        <v>223</v>
      </c>
      <c r="C65" s="4" t="s">
        <v>224</v>
      </c>
      <c r="D65" s="4" t="n">
        <v>9</v>
      </c>
      <c r="E65" s="4"/>
      <c r="F65" s="4" t="n">
        <v>3</v>
      </c>
      <c r="G65" s="4" t="n">
        <v>10</v>
      </c>
      <c r="H65" s="4"/>
      <c r="I65" s="4" t="n">
        <v>2</v>
      </c>
      <c r="J65" s="4"/>
      <c r="K65" s="4" t="n">
        <v>5</v>
      </c>
      <c r="L65" s="4" t="n">
        <v>2</v>
      </c>
      <c r="M65" s="4"/>
      <c r="N65" s="4" t="n">
        <v>5</v>
      </c>
      <c r="O65" s="4" t="n">
        <v>2</v>
      </c>
      <c r="P65" s="4" t="n">
        <v>3</v>
      </c>
      <c r="Q65" s="4"/>
      <c r="R65" s="4"/>
      <c r="S65" s="4"/>
      <c r="T65" s="4" t="n">
        <v>2</v>
      </c>
      <c r="U65" s="4" t="n">
        <v>19</v>
      </c>
      <c r="V65" s="4" t="n">
        <v>37</v>
      </c>
      <c r="W65" s="4" t="n">
        <v>2</v>
      </c>
      <c r="X65" s="4"/>
      <c r="Y65" s="4" t="n">
        <v>34</v>
      </c>
      <c r="Z65" s="4" t="n">
        <v>16</v>
      </c>
      <c r="AA65" s="4" t="n">
        <f aca="false">SUM(D65:Z65)</f>
        <v>151</v>
      </c>
    </row>
    <row r="66" customFormat="false" ht="15" hidden="false" customHeight="false" outlineLevel="0" collapsed="false">
      <c r="A66" s="4" t="s">
        <v>225</v>
      </c>
      <c r="B66" s="4" t="s">
        <v>226</v>
      </c>
      <c r="C66" s="4" t="s">
        <v>227</v>
      </c>
      <c r="D66" s="4"/>
      <c r="E66" s="4"/>
      <c r="F66" s="4" t="n">
        <v>2</v>
      </c>
      <c r="G66" s="4" t="n">
        <v>8</v>
      </c>
      <c r="H66" s="4"/>
      <c r="I66" s="4"/>
      <c r="J66" s="4"/>
      <c r="K66" s="4"/>
      <c r="L66" s="4"/>
      <c r="M66" s="4"/>
      <c r="N66" s="4"/>
      <c r="O66" s="4"/>
      <c r="P66" s="4" t="n">
        <v>5</v>
      </c>
      <c r="Q66" s="4"/>
      <c r="R66" s="4"/>
      <c r="S66" s="4"/>
      <c r="T66" s="4"/>
      <c r="U66" s="4"/>
      <c r="V66" s="4"/>
      <c r="W66" s="4" t="n">
        <v>6</v>
      </c>
      <c r="X66" s="4"/>
      <c r="Y66" s="4" t="n">
        <v>6</v>
      </c>
      <c r="Z66" s="4" t="n">
        <v>3</v>
      </c>
      <c r="AA66" s="4" t="n">
        <f aca="false">SUM(D66:Z66)</f>
        <v>30</v>
      </c>
    </row>
    <row r="67" customFormat="false" ht="15" hidden="false" customHeight="false" outlineLevel="0" collapsed="false">
      <c r="A67" s="4" t="s">
        <v>228</v>
      </c>
      <c r="B67" s="4" t="s">
        <v>229</v>
      </c>
      <c r="C67" s="4" t="s">
        <v>230</v>
      </c>
      <c r="D67" s="4" t="n">
        <v>10</v>
      </c>
      <c r="E67" s="4" t="n">
        <v>6</v>
      </c>
      <c r="F67" s="4" t="n">
        <v>7</v>
      </c>
      <c r="G67" s="4" t="n">
        <v>12</v>
      </c>
      <c r="H67" s="4" t="n">
        <v>2</v>
      </c>
      <c r="I67" s="4" t="n">
        <v>2</v>
      </c>
      <c r="J67" s="4"/>
      <c r="K67" s="4" t="n">
        <v>6</v>
      </c>
      <c r="L67" s="4" t="n">
        <v>8</v>
      </c>
      <c r="M67" s="4"/>
      <c r="N67" s="4" t="n">
        <v>6</v>
      </c>
      <c r="O67" s="4" t="n">
        <v>43</v>
      </c>
      <c r="P67" s="4" t="n">
        <v>11</v>
      </c>
      <c r="Q67" s="4" t="n">
        <v>17</v>
      </c>
      <c r="R67" s="4"/>
      <c r="S67" s="4" t="n">
        <v>6</v>
      </c>
      <c r="T67" s="4" t="n">
        <v>2</v>
      </c>
      <c r="U67" s="4" t="n">
        <v>17</v>
      </c>
      <c r="V67" s="4" t="n">
        <v>10</v>
      </c>
      <c r="W67" s="4" t="n">
        <v>3</v>
      </c>
      <c r="X67" s="4"/>
      <c r="Y67" s="4" t="n">
        <v>58</v>
      </c>
      <c r="Z67" s="4" t="n">
        <v>26</v>
      </c>
      <c r="AA67" s="4" t="n">
        <f aca="false">SUM(D67:Z67)</f>
        <v>252</v>
      </c>
    </row>
    <row r="68" customFormat="false" ht="15" hidden="false" customHeight="false" outlineLevel="0" collapsed="false">
      <c r="A68" s="4" t="s">
        <v>231</v>
      </c>
      <c r="B68" s="4" t="s">
        <v>232</v>
      </c>
      <c r="C68" s="4" t="s">
        <v>233</v>
      </c>
      <c r="D68" s="4"/>
      <c r="E68" s="4"/>
      <c r="F68" s="4"/>
      <c r="G68" s="4"/>
      <c r="H68" s="4" t="n">
        <v>2</v>
      </c>
      <c r="I68" s="4"/>
      <c r="J68" s="4"/>
      <c r="K68" s="4"/>
      <c r="L68" s="4" t="n">
        <v>2</v>
      </c>
      <c r="M68" s="4"/>
      <c r="N68" s="4" t="n">
        <v>2</v>
      </c>
      <c r="O68" s="4"/>
      <c r="P68" s="4"/>
      <c r="Q68" s="4"/>
      <c r="R68" s="4"/>
      <c r="S68" s="4"/>
      <c r="T68" s="4"/>
      <c r="U68" s="4" t="n">
        <v>2</v>
      </c>
      <c r="V68" s="4"/>
      <c r="W68" s="4"/>
      <c r="X68" s="4"/>
      <c r="Y68" s="4"/>
      <c r="Z68" s="4"/>
      <c r="AA68" s="4" t="n">
        <f aca="false">SUM(D68:Z68)</f>
        <v>8</v>
      </c>
    </row>
    <row r="69" customFormat="false" ht="15" hidden="false" customHeight="false" outlineLevel="0" collapsed="false">
      <c r="A69" s="4" t="s">
        <v>234</v>
      </c>
      <c r="B69" s="4" t="s">
        <v>235</v>
      </c>
      <c r="C69" s="4" t="s">
        <v>236</v>
      </c>
      <c r="D69" s="4" t="n">
        <v>7</v>
      </c>
      <c r="E69" s="4" t="n">
        <v>5</v>
      </c>
      <c r="F69" s="4" t="n">
        <v>2</v>
      </c>
      <c r="G69" s="4" t="n">
        <v>2</v>
      </c>
      <c r="H69" s="4" t="n">
        <v>2</v>
      </c>
      <c r="I69" s="4" t="n">
        <v>2</v>
      </c>
      <c r="J69" s="4" t="n">
        <v>6</v>
      </c>
      <c r="K69" s="4" t="n">
        <v>17</v>
      </c>
      <c r="L69" s="4" t="n">
        <v>2</v>
      </c>
      <c r="M69" s="4" t="n">
        <v>22</v>
      </c>
      <c r="N69" s="4" t="n">
        <v>23</v>
      </c>
      <c r="O69" s="4" t="n">
        <v>11</v>
      </c>
      <c r="P69" s="4" t="n">
        <v>38</v>
      </c>
      <c r="Q69" s="4" t="n">
        <v>13</v>
      </c>
      <c r="R69" s="4"/>
      <c r="S69" s="4" t="n">
        <v>7</v>
      </c>
      <c r="T69" s="4" t="n">
        <v>2</v>
      </c>
      <c r="U69" s="4" t="n">
        <v>52</v>
      </c>
      <c r="V69" s="4" t="n">
        <v>140</v>
      </c>
      <c r="W69" s="4" t="n">
        <v>2</v>
      </c>
      <c r="X69" s="4"/>
      <c r="Y69" s="4" t="n">
        <v>274</v>
      </c>
      <c r="Z69" s="4" t="n">
        <v>125</v>
      </c>
      <c r="AA69" s="4" t="n">
        <f aca="false">SUM(D69:Z69)</f>
        <v>754</v>
      </c>
    </row>
    <row r="70" customFormat="false" ht="15" hidden="false" customHeight="false" outlineLevel="0" collapsed="false">
      <c r="A70" s="4" t="s">
        <v>237</v>
      </c>
      <c r="B70" s="4" t="s">
        <v>238</v>
      </c>
      <c r="C70" s="4" t="s">
        <v>239</v>
      </c>
      <c r="D70" s="4"/>
      <c r="E70" s="4"/>
      <c r="F70" s="4"/>
      <c r="G70" s="4" t="n">
        <v>2</v>
      </c>
      <c r="H70" s="4"/>
      <c r="I70" s="4"/>
      <c r="J70" s="4"/>
      <c r="K70" s="4"/>
      <c r="L70" s="4"/>
      <c r="M70" s="4"/>
      <c r="N70" s="4"/>
      <c r="O70" s="4"/>
      <c r="P70" s="4"/>
      <c r="Q70" s="4"/>
      <c r="R70" s="4"/>
      <c r="S70" s="4"/>
      <c r="T70" s="4" t="n">
        <v>2</v>
      </c>
      <c r="U70" s="4"/>
      <c r="V70" s="4"/>
      <c r="W70" s="4"/>
      <c r="X70" s="4"/>
      <c r="Y70" s="4"/>
      <c r="Z70" s="4"/>
      <c r="AA70" s="4" t="n">
        <f aca="false">SUM(D70:Z70)</f>
        <v>4</v>
      </c>
    </row>
    <row r="71" customFormat="false" ht="15" hidden="false" customHeight="false" outlineLevel="0" collapsed="false">
      <c r="A71" s="4" t="s">
        <v>240</v>
      </c>
      <c r="B71" s="4" t="s">
        <v>241</v>
      </c>
      <c r="C71" s="4" t="s">
        <v>242</v>
      </c>
      <c r="D71" s="4"/>
      <c r="E71" s="4"/>
      <c r="F71" s="4"/>
      <c r="G71" s="4"/>
      <c r="H71" s="4"/>
      <c r="I71" s="4"/>
      <c r="J71" s="4"/>
      <c r="K71" s="4"/>
      <c r="L71" s="4"/>
      <c r="M71" s="4"/>
      <c r="N71" s="4"/>
      <c r="O71" s="4"/>
      <c r="P71" s="4"/>
      <c r="Q71" s="4"/>
      <c r="R71" s="4"/>
      <c r="S71" s="4"/>
      <c r="T71" s="4" t="n">
        <v>3</v>
      </c>
      <c r="U71" s="4"/>
      <c r="V71" s="4" t="n">
        <v>2</v>
      </c>
      <c r="W71" s="4"/>
      <c r="X71" s="4"/>
      <c r="Y71" s="4"/>
      <c r="Z71" s="4"/>
      <c r="AA71" s="4" t="n">
        <f aca="false">SUM(D71:Z71)</f>
        <v>5</v>
      </c>
    </row>
    <row r="72" customFormat="false" ht="15" hidden="false" customHeight="false" outlineLevel="0" collapsed="false">
      <c r="A72" s="4" t="s">
        <v>243</v>
      </c>
      <c r="B72" s="4" t="s">
        <v>244</v>
      </c>
      <c r="C72" s="4" t="s">
        <v>245</v>
      </c>
      <c r="D72" s="4"/>
      <c r="E72" s="4"/>
      <c r="F72" s="4"/>
      <c r="G72" s="4"/>
      <c r="H72" s="4"/>
      <c r="I72" s="4"/>
      <c r="J72" s="4" t="n">
        <v>3</v>
      </c>
      <c r="K72" s="4" t="n">
        <v>4</v>
      </c>
      <c r="L72" s="4" t="n">
        <v>2</v>
      </c>
      <c r="M72" s="4"/>
      <c r="N72" s="4" t="n">
        <v>4</v>
      </c>
      <c r="O72" s="4"/>
      <c r="P72" s="4"/>
      <c r="Q72" s="4"/>
      <c r="R72" s="4"/>
      <c r="S72" s="4"/>
      <c r="T72" s="4"/>
      <c r="U72" s="4"/>
      <c r="V72" s="4"/>
      <c r="W72" s="4"/>
      <c r="X72" s="4"/>
      <c r="Y72" s="4" t="n">
        <v>5</v>
      </c>
      <c r="Z72" s="4" t="n">
        <v>2</v>
      </c>
      <c r="AA72" s="4" t="n">
        <f aca="false">SUM(D72:Z72)</f>
        <v>20</v>
      </c>
    </row>
    <row r="73" customFormat="false" ht="15" hidden="false" customHeight="false" outlineLevel="0" collapsed="false">
      <c r="A73" s="4" t="s">
        <v>246</v>
      </c>
      <c r="B73" s="4" t="s">
        <v>247</v>
      </c>
      <c r="C73" s="4" t="s">
        <v>248</v>
      </c>
      <c r="D73" s="4"/>
      <c r="E73" s="4"/>
      <c r="F73" s="4" t="n">
        <v>2</v>
      </c>
      <c r="G73" s="4"/>
      <c r="H73" s="4" t="n">
        <v>2</v>
      </c>
      <c r="I73" s="4" t="n">
        <v>2</v>
      </c>
      <c r="J73" s="4"/>
      <c r="K73" s="4" t="n">
        <v>2</v>
      </c>
      <c r="L73" s="4"/>
      <c r="M73" s="4"/>
      <c r="N73" s="4"/>
      <c r="O73" s="4"/>
      <c r="P73" s="4" t="n">
        <v>3</v>
      </c>
      <c r="Q73" s="4" t="n">
        <v>4</v>
      </c>
      <c r="R73" s="4"/>
      <c r="S73" s="4" t="n">
        <v>2</v>
      </c>
      <c r="T73" s="4" t="n">
        <v>4</v>
      </c>
      <c r="U73" s="4" t="n">
        <v>2</v>
      </c>
      <c r="V73" s="4"/>
      <c r="W73" s="4" t="n">
        <v>6</v>
      </c>
      <c r="X73" s="4"/>
      <c r="Y73" s="4" t="n">
        <v>8</v>
      </c>
      <c r="Z73" s="4" t="n">
        <v>4</v>
      </c>
      <c r="AA73" s="4" t="n">
        <f aca="false">SUM(D73:Z73)</f>
        <v>41</v>
      </c>
    </row>
    <row r="74" customFormat="false" ht="15" hidden="false" customHeight="false" outlineLevel="0" collapsed="false">
      <c r="A74" s="4" t="s">
        <v>249</v>
      </c>
      <c r="B74" s="4" t="s">
        <v>250</v>
      </c>
      <c r="C74" s="4" t="s">
        <v>251</v>
      </c>
      <c r="D74" s="4" t="n">
        <v>3</v>
      </c>
      <c r="E74" s="4"/>
      <c r="F74" s="4" t="n">
        <v>2</v>
      </c>
      <c r="G74" s="4" t="n">
        <v>4</v>
      </c>
      <c r="H74" s="4" t="n">
        <v>2</v>
      </c>
      <c r="I74" s="4" t="n">
        <v>2</v>
      </c>
      <c r="J74" s="4" t="n">
        <v>4</v>
      </c>
      <c r="K74" s="4" t="n">
        <v>3</v>
      </c>
      <c r="L74" s="4" t="n">
        <v>8</v>
      </c>
      <c r="M74" s="4"/>
      <c r="N74" s="4"/>
      <c r="O74" s="4" t="n">
        <v>4</v>
      </c>
      <c r="P74" s="4" t="n">
        <v>8</v>
      </c>
      <c r="Q74" s="4" t="n">
        <v>4</v>
      </c>
      <c r="R74" s="4"/>
      <c r="S74" s="4" t="n">
        <v>4</v>
      </c>
      <c r="T74" s="4" t="n">
        <v>2</v>
      </c>
      <c r="U74" s="4"/>
      <c r="V74" s="4" t="n">
        <v>6</v>
      </c>
      <c r="W74" s="4" t="n">
        <v>2</v>
      </c>
      <c r="X74" s="4"/>
      <c r="Y74" s="4" t="n">
        <v>52</v>
      </c>
      <c r="Z74" s="4" t="n">
        <v>24</v>
      </c>
      <c r="AA74" s="4" t="n">
        <f aca="false">SUM(D74:Z74)</f>
        <v>134</v>
      </c>
    </row>
    <row r="75" customFormat="false" ht="15" hidden="false" customHeight="false" outlineLevel="0" collapsed="false">
      <c r="A75" s="4" t="s">
        <v>252</v>
      </c>
      <c r="B75" s="4" t="s">
        <v>253</v>
      </c>
      <c r="C75" s="4" t="s">
        <v>254</v>
      </c>
      <c r="D75" s="4" t="n">
        <v>3</v>
      </c>
      <c r="E75" s="4"/>
      <c r="F75" s="4" t="n">
        <v>2</v>
      </c>
      <c r="G75" s="4" t="n">
        <v>4</v>
      </c>
      <c r="H75" s="4" t="n">
        <v>2</v>
      </c>
      <c r="I75" s="4" t="n">
        <v>2</v>
      </c>
      <c r="J75" s="4"/>
      <c r="K75" s="4"/>
      <c r="L75" s="4"/>
      <c r="M75" s="4"/>
      <c r="N75" s="4" t="n">
        <v>3</v>
      </c>
      <c r="O75" s="4"/>
      <c r="P75" s="4" t="n">
        <v>15</v>
      </c>
      <c r="Q75" s="4" t="n">
        <v>3</v>
      </c>
      <c r="R75" s="4"/>
      <c r="S75" s="4"/>
      <c r="T75" s="4" t="n">
        <v>2</v>
      </c>
      <c r="U75" s="4" t="n">
        <v>7</v>
      </c>
      <c r="V75" s="4" t="n">
        <v>2</v>
      </c>
      <c r="W75" s="4" t="n">
        <v>9</v>
      </c>
      <c r="X75" s="4"/>
      <c r="Y75" s="4" t="n">
        <v>18</v>
      </c>
      <c r="Z75" s="4" t="n">
        <v>8</v>
      </c>
      <c r="AA75" s="4" t="n">
        <f aca="false">SUM(D75:Z75)</f>
        <v>80</v>
      </c>
    </row>
    <row r="76" customFormat="false" ht="15" hidden="false" customHeight="false" outlineLevel="0" collapsed="false">
      <c r="A76" s="4" t="s">
        <v>255</v>
      </c>
      <c r="B76" s="4" t="s">
        <v>256</v>
      </c>
      <c r="C76" s="4" t="s">
        <v>257</v>
      </c>
      <c r="D76" s="4"/>
      <c r="E76" s="4"/>
      <c r="F76" s="4"/>
      <c r="G76" s="4" t="n">
        <v>6</v>
      </c>
      <c r="H76" s="4"/>
      <c r="I76" s="4"/>
      <c r="J76" s="4"/>
      <c r="K76" s="4"/>
      <c r="L76" s="4"/>
      <c r="M76" s="4"/>
      <c r="N76" s="4"/>
      <c r="O76" s="4"/>
      <c r="P76" s="4"/>
      <c r="Q76" s="4"/>
      <c r="R76" s="4"/>
      <c r="S76" s="4"/>
      <c r="T76" s="4" t="n">
        <v>5</v>
      </c>
      <c r="U76" s="4"/>
      <c r="V76" s="4"/>
      <c r="W76" s="4"/>
      <c r="X76" s="4"/>
      <c r="Y76" s="4"/>
      <c r="Z76" s="4"/>
      <c r="AA76" s="4" t="n">
        <f aca="false">SUM(D76:Z76)</f>
        <v>11</v>
      </c>
    </row>
    <row r="77" customFormat="false" ht="15" hidden="false" customHeight="false" outlineLevel="0" collapsed="false">
      <c r="A77" s="4" t="s">
        <v>258</v>
      </c>
      <c r="B77" s="4" t="s">
        <v>259</v>
      </c>
      <c r="C77" s="4" t="s">
        <v>260</v>
      </c>
      <c r="D77" s="4"/>
      <c r="E77" s="4"/>
      <c r="F77" s="4"/>
      <c r="G77" s="4"/>
      <c r="H77" s="4"/>
      <c r="I77" s="4"/>
      <c r="J77" s="4"/>
      <c r="K77" s="4"/>
      <c r="L77" s="4"/>
      <c r="M77" s="4"/>
      <c r="N77" s="4"/>
      <c r="O77" s="4"/>
      <c r="P77" s="4"/>
      <c r="Q77" s="4"/>
      <c r="R77" s="4"/>
      <c r="S77" s="4"/>
      <c r="T77" s="4" t="n">
        <v>5</v>
      </c>
      <c r="U77" s="4"/>
      <c r="V77" s="4"/>
      <c r="W77" s="4"/>
      <c r="X77" s="4"/>
      <c r="Y77" s="4"/>
      <c r="Z77" s="4"/>
      <c r="AA77" s="4" t="n">
        <f aca="false">SUM(D77:Z77)</f>
        <v>5</v>
      </c>
    </row>
    <row r="78" customFormat="false" ht="15" hidden="false" customHeight="false" outlineLevel="0" collapsed="false">
      <c r="A78" s="4" t="s">
        <v>261</v>
      </c>
      <c r="B78" s="4" t="s">
        <v>262</v>
      </c>
      <c r="C78" s="4" t="s">
        <v>263</v>
      </c>
      <c r="D78" s="4"/>
      <c r="E78" s="4"/>
      <c r="F78" s="4"/>
      <c r="G78" s="4" t="n">
        <v>2</v>
      </c>
      <c r="H78" s="4"/>
      <c r="I78" s="4"/>
      <c r="J78" s="4"/>
      <c r="K78" s="4"/>
      <c r="L78" s="4"/>
      <c r="M78" s="4"/>
      <c r="N78" s="4"/>
      <c r="O78" s="4"/>
      <c r="P78" s="4"/>
      <c r="Q78" s="4"/>
      <c r="R78" s="4"/>
      <c r="S78" s="4"/>
      <c r="T78" s="4" t="n">
        <v>3</v>
      </c>
      <c r="U78" s="4" t="n">
        <v>3</v>
      </c>
      <c r="V78" s="4"/>
      <c r="W78" s="4" t="n">
        <v>2</v>
      </c>
      <c r="X78" s="4"/>
      <c r="Y78" s="4"/>
      <c r="Z78" s="4"/>
      <c r="AA78" s="4" t="n">
        <f aca="false">SUM(D78:Z78)</f>
        <v>10</v>
      </c>
    </row>
    <row r="79" customFormat="false" ht="15" hidden="false" customHeight="false" outlineLevel="0" collapsed="false">
      <c r="A79" s="4" t="s">
        <v>264</v>
      </c>
      <c r="B79" s="4" t="s">
        <v>265</v>
      </c>
      <c r="C79" s="4" t="s">
        <v>266</v>
      </c>
      <c r="D79" s="4"/>
      <c r="E79" s="4"/>
      <c r="F79" s="4" t="n">
        <v>2</v>
      </c>
      <c r="G79" s="4" t="n">
        <v>2</v>
      </c>
      <c r="H79" s="4"/>
      <c r="I79" s="4" t="n">
        <v>2</v>
      </c>
      <c r="J79" s="4"/>
      <c r="K79" s="4"/>
      <c r="L79" s="4" t="n">
        <v>2</v>
      </c>
      <c r="M79" s="4"/>
      <c r="N79" s="4"/>
      <c r="O79" s="4" t="n">
        <v>2</v>
      </c>
      <c r="P79" s="4" t="n">
        <v>2</v>
      </c>
      <c r="Q79" s="4"/>
      <c r="R79" s="4"/>
      <c r="S79" s="4"/>
      <c r="T79" s="4" t="n">
        <v>2</v>
      </c>
      <c r="U79" s="4" t="n">
        <v>2</v>
      </c>
      <c r="V79" s="4"/>
      <c r="W79" s="4" t="n">
        <v>2</v>
      </c>
      <c r="X79" s="4"/>
      <c r="Y79" s="4" t="n">
        <v>2</v>
      </c>
      <c r="Z79" s="4"/>
      <c r="AA79" s="4" t="n">
        <f aca="false">SUM(D79:Z79)</f>
        <v>20</v>
      </c>
    </row>
    <row r="80" customFormat="false" ht="15" hidden="false" customHeight="false" outlineLevel="0" collapsed="false">
      <c r="A80" s="4" t="s">
        <v>267</v>
      </c>
      <c r="B80" s="4" t="s">
        <v>268</v>
      </c>
      <c r="C80" s="4" t="s">
        <v>269</v>
      </c>
      <c r="D80" s="4"/>
      <c r="E80" s="4"/>
      <c r="F80" s="4"/>
      <c r="G80" s="4"/>
      <c r="H80" s="4"/>
      <c r="I80" s="4"/>
      <c r="J80" s="4"/>
      <c r="K80" s="4"/>
      <c r="L80" s="4"/>
      <c r="M80" s="4"/>
      <c r="N80" s="4"/>
      <c r="O80" s="4"/>
      <c r="P80" s="4"/>
      <c r="Q80" s="4"/>
      <c r="R80" s="4"/>
      <c r="S80" s="4"/>
      <c r="T80" s="4" t="n">
        <v>2</v>
      </c>
      <c r="U80" s="4" t="n">
        <v>2</v>
      </c>
      <c r="V80" s="4"/>
      <c r="W80" s="4" t="n">
        <v>2</v>
      </c>
      <c r="X80" s="4"/>
      <c r="Y80" s="4"/>
      <c r="Z80" s="4"/>
      <c r="AA80" s="4" t="n">
        <f aca="false">SUM(D80:Z80)</f>
        <v>6</v>
      </c>
    </row>
    <row r="81" customFormat="false" ht="15" hidden="false" customHeight="false" outlineLevel="0" collapsed="false">
      <c r="A81" s="4" t="s">
        <v>270</v>
      </c>
      <c r="B81" s="4" t="s">
        <v>271</v>
      </c>
      <c r="C81" s="4" t="s">
        <v>272</v>
      </c>
      <c r="D81" s="4"/>
      <c r="E81" s="4"/>
      <c r="F81" s="4"/>
      <c r="G81" s="4" t="n">
        <v>10</v>
      </c>
      <c r="H81" s="4"/>
      <c r="I81" s="4"/>
      <c r="J81" s="4"/>
      <c r="K81" s="4"/>
      <c r="L81" s="4"/>
      <c r="M81" s="4"/>
      <c r="N81" s="4"/>
      <c r="O81" s="4"/>
      <c r="P81" s="4"/>
      <c r="Q81" s="4" t="n">
        <v>4</v>
      </c>
      <c r="R81" s="4"/>
      <c r="S81" s="4"/>
      <c r="T81" s="4" t="n">
        <v>4</v>
      </c>
      <c r="U81" s="4"/>
      <c r="V81" s="4"/>
      <c r="W81" s="4"/>
      <c r="X81" s="4"/>
      <c r="Y81" s="4"/>
      <c r="Z81" s="4"/>
      <c r="AA81" s="4" t="n">
        <f aca="false">SUM(D81:Z81)</f>
        <v>18</v>
      </c>
    </row>
    <row r="82" customFormat="false" ht="15" hidden="false" customHeight="false" outlineLevel="0" collapsed="false">
      <c r="A82" s="4" t="s">
        <v>273</v>
      </c>
      <c r="B82" s="4" t="s">
        <v>274</v>
      </c>
      <c r="C82" s="4" t="s">
        <v>275</v>
      </c>
      <c r="D82" s="4"/>
      <c r="E82" s="4"/>
      <c r="F82" s="4" t="n">
        <v>2</v>
      </c>
      <c r="G82" s="4" t="n">
        <v>2</v>
      </c>
      <c r="H82" s="4" t="n">
        <v>2</v>
      </c>
      <c r="I82" s="4" t="n">
        <v>2</v>
      </c>
      <c r="J82" s="4"/>
      <c r="K82" s="4"/>
      <c r="L82" s="4" t="n">
        <v>2</v>
      </c>
      <c r="M82" s="4"/>
      <c r="N82" s="4"/>
      <c r="O82" s="4" t="n">
        <v>2</v>
      </c>
      <c r="P82" s="4" t="n">
        <v>2</v>
      </c>
      <c r="Q82" s="4" t="n">
        <v>2</v>
      </c>
      <c r="R82" s="4"/>
      <c r="S82" s="4"/>
      <c r="T82" s="4" t="n">
        <v>2</v>
      </c>
      <c r="U82" s="4" t="n">
        <v>2</v>
      </c>
      <c r="V82" s="4" t="n">
        <v>2</v>
      </c>
      <c r="W82" s="4" t="n">
        <v>2</v>
      </c>
      <c r="X82" s="4"/>
      <c r="Y82" s="4" t="n">
        <v>2</v>
      </c>
      <c r="Z82" s="4"/>
      <c r="AA82" s="4" t="n">
        <f aca="false">SUM(D82:Z82)</f>
        <v>26</v>
      </c>
    </row>
    <row r="83" customFormat="false" ht="15" hidden="false" customHeight="false" outlineLevel="0" collapsed="false">
      <c r="A83" s="4" t="s">
        <v>276</v>
      </c>
      <c r="B83" s="4" t="s">
        <v>277</v>
      </c>
      <c r="C83" s="4" t="s">
        <v>278</v>
      </c>
      <c r="D83" s="4"/>
      <c r="E83" s="4"/>
      <c r="F83" s="4"/>
      <c r="G83" s="4"/>
      <c r="H83" s="4"/>
      <c r="I83" s="4"/>
      <c r="J83" s="4"/>
      <c r="K83" s="4"/>
      <c r="L83" s="4"/>
      <c r="M83" s="4"/>
      <c r="N83" s="4"/>
      <c r="O83" s="4"/>
      <c r="P83" s="4" t="n">
        <v>6</v>
      </c>
      <c r="Q83" s="4"/>
      <c r="R83" s="4"/>
      <c r="S83" s="4"/>
      <c r="T83" s="4"/>
      <c r="U83" s="4"/>
      <c r="V83" s="4"/>
      <c r="W83" s="4" t="n">
        <v>5</v>
      </c>
      <c r="X83" s="4"/>
      <c r="Y83" s="4"/>
      <c r="Z83" s="4"/>
      <c r="AA83" s="4" t="n">
        <f aca="false">SUM(D83:Z83)</f>
        <v>11</v>
      </c>
    </row>
    <row r="84" customFormat="false" ht="15" hidden="false" customHeight="false" outlineLevel="0" collapsed="false">
      <c r="A84" s="4" t="s">
        <v>279</v>
      </c>
      <c r="B84" s="4" t="s">
        <v>280</v>
      </c>
      <c r="C84" s="4" t="s">
        <v>281</v>
      </c>
      <c r="D84" s="4"/>
      <c r="E84" s="4"/>
      <c r="F84" s="4"/>
      <c r="G84" s="4"/>
      <c r="H84" s="4"/>
      <c r="I84" s="4"/>
      <c r="J84" s="4"/>
      <c r="K84" s="4"/>
      <c r="L84" s="4"/>
      <c r="M84" s="4"/>
      <c r="N84" s="4"/>
      <c r="O84" s="4"/>
      <c r="P84" s="4"/>
      <c r="Q84" s="4"/>
      <c r="R84" s="4"/>
      <c r="S84" s="4"/>
      <c r="T84" s="4"/>
      <c r="U84" s="4"/>
      <c r="V84" s="4"/>
      <c r="W84" s="4"/>
      <c r="X84" s="4"/>
      <c r="Y84" s="4" t="n">
        <v>3</v>
      </c>
      <c r="Z84" s="4"/>
      <c r="AA84" s="4" t="n">
        <f aca="false">SUM(D84:Z84)</f>
        <v>3</v>
      </c>
    </row>
    <row r="85" customFormat="false" ht="15" hidden="false" customHeight="false" outlineLevel="0" collapsed="false">
      <c r="A85" s="4" t="s">
        <v>282</v>
      </c>
      <c r="B85" s="4" t="s">
        <v>283</v>
      </c>
      <c r="C85" s="4" t="s">
        <v>284</v>
      </c>
      <c r="D85" s="4"/>
      <c r="E85" s="4"/>
      <c r="F85" s="4"/>
      <c r="G85" s="4"/>
      <c r="H85" s="4"/>
      <c r="I85" s="4"/>
      <c r="J85" s="4"/>
      <c r="K85" s="4"/>
      <c r="L85" s="4"/>
      <c r="M85" s="4"/>
      <c r="N85" s="4"/>
      <c r="O85" s="4"/>
      <c r="P85" s="4" t="n">
        <v>2</v>
      </c>
      <c r="Q85" s="4"/>
      <c r="R85" s="4"/>
      <c r="S85" s="4"/>
      <c r="T85" s="4" t="n">
        <v>2</v>
      </c>
      <c r="U85" s="4"/>
      <c r="V85" s="4"/>
      <c r="W85" s="4"/>
      <c r="X85" s="4"/>
      <c r="Y85" s="4"/>
      <c r="Z85" s="4"/>
      <c r="AA85" s="4" t="n">
        <f aca="false">SUM(D85:Z85)</f>
        <v>4</v>
      </c>
    </row>
    <row r="86" customFormat="false" ht="15" hidden="false" customHeight="false" outlineLevel="0" collapsed="false">
      <c r="A86" s="4" t="s">
        <v>285</v>
      </c>
      <c r="B86" s="4" t="s">
        <v>286</v>
      </c>
      <c r="C86" s="4" t="s">
        <v>287</v>
      </c>
      <c r="D86" s="4"/>
      <c r="E86" s="4"/>
      <c r="F86" s="4"/>
      <c r="G86" s="4"/>
      <c r="H86" s="4"/>
      <c r="I86" s="4"/>
      <c r="J86" s="4"/>
      <c r="K86" s="4"/>
      <c r="L86" s="4"/>
      <c r="M86" s="4"/>
      <c r="N86" s="4"/>
      <c r="O86" s="4"/>
      <c r="P86" s="4"/>
      <c r="Q86" s="4"/>
      <c r="R86" s="4"/>
      <c r="S86" s="4"/>
      <c r="T86" s="4" t="n">
        <v>2</v>
      </c>
      <c r="U86" s="4"/>
      <c r="V86" s="4"/>
      <c r="W86" s="4"/>
      <c r="X86" s="4"/>
      <c r="Y86" s="4" t="n">
        <v>5</v>
      </c>
      <c r="Z86" s="4" t="n">
        <v>2</v>
      </c>
      <c r="AA86" s="4" t="n">
        <f aca="false">SUM(D86:Z86)</f>
        <v>9</v>
      </c>
    </row>
    <row r="87" customFormat="false" ht="15" hidden="false" customHeight="false" outlineLevel="0" collapsed="false">
      <c r="A87" s="4" t="s">
        <v>288</v>
      </c>
      <c r="B87" s="4" t="s">
        <v>289</v>
      </c>
      <c r="C87" s="4" t="s">
        <v>290</v>
      </c>
      <c r="D87" s="4"/>
      <c r="E87" s="4"/>
      <c r="F87" s="4"/>
      <c r="G87" s="4"/>
      <c r="H87" s="4"/>
      <c r="I87" s="4"/>
      <c r="J87" s="4"/>
      <c r="K87" s="4"/>
      <c r="L87" s="4"/>
      <c r="M87" s="4"/>
      <c r="N87" s="4"/>
      <c r="O87" s="4"/>
      <c r="P87" s="4"/>
      <c r="Q87" s="4"/>
      <c r="R87" s="4"/>
      <c r="S87" s="4"/>
      <c r="T87" s="4" t="n">
        <v>2</v>
      </c>
      <c r="U87" s="4"/>
      <c r="V87" s="4"/>
      <c r="W87" s="4"/>
      <c r="X87" s="4"/>
      <c r="Y87" s="4" t="n">
        <v>4</v>
      </c>
      <c r="Z87" s="4"/>
      <c r="AA87" s="4" t="n">
        <f aca="false">SUM(D87:Z87)</f>
        <v>6</v>
      </c>
    </row>
    <row r="88" customFormat="false" ht="15" hidden="false" customHeight="false" outlineLevel="0" collapsed="false">
      <c r="A88" s="4" t="s">
        <v>291</v>
      </c>
      <c r="B88" s="4" t="s">
        <v>292</v>
      </c>
      <c r="C88" s="4" t="s">
        <v>293</v>
      </c>
      <c r="D88" s="4"/>
      <c r="E88" s="4"/>
      <c r="F88" s="4"/>
      <c r="G88" s="4" t="n">
        <v>4</v>
      </c>
      <c r="H88" s="4"/>
      <c r="I88" s="4"/>
      <c r="J88" s="4"/>
      <c r="K88" s="4"/>
      <c r="L88" s="4"/>
      <c r="M88" s="4"/>
      <c r="N88" s="4"/>
      <c r="O88" s="4"/>
      <c r="P88" s="4"/>
      <c r="Q88" s="4"/>
      <c r="R88" s="4"/>
      <c r="S88" s="4"/>
      <c r="T88" s="4" t="n">
        <v>5</v>
      </c>
      <c r="U88" s="4" t="n">
        <v>4</v>
      </c>
      <c r="V88" s="4"/>
      <c r="W88" s="4" t="n">
        <v>4</v>
      </c>
      <c r="X88" s="4"/>
      <c r="Y88" s="4"/>
      <c r="Z88" s="4"/>
      <c r="AA88" s="4" t="n">
        <f aca="false">SUM(D88:Z88)</f>
        <v>17</v>
      </c>
    </row>
    <row r="89" customFormat="false" ht="15" hidden="false" customHeight="false" outlineLevel="0" collapsed="false">
      <c r="A89" s="4" t="s">
        <v>294</v>
      </c>
      <c r="B89" s="4" t="s">
        <v>295</v>
      </c>
      <c r="C89" s="4" t="s">
        <v>296</v>
      </c>
      <c r="D89" s="4"/>
      <c r="E89" s="4"/>
      <c r="F89" s="4"/>
      <c r="G89" s="4"/>
      <c r="H89" s="4"/>
      <c r="I89" s="4"/>
      <c r="J89" s="4"/>
      <c r="K89" s="4"/>
      <c r="L89" s="4"/>
      <c r="M89" s="4"/>
      <c r="N89" s="4"/>
      <c r="O89" s="4"/>
      <c r="P89" s="4"/>
      <c r="Q89" s="4"/>
      <c r="R89" s="4"/>
      <c r="S89" s="4"/>
      <c r="T89" s="4" t="n">
        <v>2</v>
      </c>
      <c r="U89" s="4"/>
      <c r="V89" s="4"/>
      <c r="W89" s="4"/>
      <c r="X89" s="4"/>
      <c r="Y89" s="4" t="n">
        <v>4</v>
      </c>
      <c r="Z89" s="4"/>
      <c r="AA89" s="4" t="n">
        <f aca="false">SUM(D89:Z89)</f>
        <v>6</v>
      </c>
    </row>
    <row r="90" customFormat="false" ht="15" hidden="false" customHeight="false" outlineLevel="0" collapsed="false">
      <c r="A90" s="4" t="s">
        <v>297</v>
      </c>
      <c r="B90" s="4" t="s">
        <v>298</v>
      </c>
      <c r="C90" s="4" t="s">
        <v>299</v>
      </c>
      <c r="D90" s="4"/>
      <c r="E90" s="4"/>
      <c r="F90" s="4"/>
      <c r="G90" s="4"/>
      <c r="H90" s="4"/>
      <c r="I90" s="4"/>
      <c r="J90" s="4"/>
      <c r="K90" s="4"/>
      <c r="L90" s="4"/>
      <c r="M90" s="4"/>
      <c r="N90" s="4"/>
      <c r="O90" s="4"/>
      <c r="P90" s="4"/>
      <c r="Q90" s="4"/>
      <c r="R90" s="4"/>
      <c r="S90" s="4"/>
      <c r="T90" s="4" t="n">
        <v>2</v>
      </c>
      <c r="U90" s="4"/>
      <c r="V90" s="4"/>
      <c r="W90" s="4"/>
      <c r="X90" s="4"/>
      <c r="Y90" s="4"/>
      <c r="Z90" s="4"/>
      <c r="AA90" s="4" t="n">
        <f aca="false">SUM(D90:Z90)</f>
        <v>2</v>
      </c>
    </row>
    <row r="91" customFormat="false" ht="15" hidden="false" customHeight="false" outlineLevel="0" collapsed="false">
      <c r="A91" s="4" t="s">
        <v>300</v>
      </c>
      <c r="B91" s="4" t="s">
        <v>301</v>
      </c>
      <c r="C91" s="4" t="s">
        <v>302</v>
      </c>
      <c r="D91" s="4"/>
      <c r="E91" s="4"/>
      <c r="F91" s="4"/>
      <c r="G91" s="4"/>
      <c r="H91" s="4"/>
      <c r="I91" s="4"/>
      <c r="J91" s="4"/>
      <c r="K91" s="4"/>
      <c r="L91" s="4"/>
      <c r="M91" s="4"/>
      <c r="N91" s="4"/>
      <c r="O91" s="4"/>
      <c r="P91" s="4"/>
      <c r="Q91" s="4"/>
      <c r="R91" s="4"/>
      <c r="S91" s="4"/>
      <c r="T91" s="4" t="n">
        <v>4</v>
      </c>
      <c r="U91" s="4"/>
      <c r="V91" s="4"/>
      <c r="W91" s="4"/>
      <c r="X91" s="4"/>
      <c r="Y91" s="4"/>
      <c r="Z91" s="4"/>
      <c r="AA91" s="4" t="n">
        <f aca="false">SUM(D91:Z91)</f>
        <v>4</v>
      </c>
    </row>
    <row r="92" customFormat="false" ht="15" hidden="false" customHeight="false" outlineLevel="0" collapsed="false">
      <c r="A92" s="4" t="s">
        <v>303</v>
      </c>
      <c r="B92" s="4" t="s">
        <v>304</v>
      </c>
      <c r="C92" s="4" t="s">
        <v>305</v>
      </c>
      <c r="D92" s="4"/>
      <c r="E92" s="4"/>
      <c r="F92" s="4"/>
      <c r="G92" s="4"/>
      <c r="H92" s="4"/>
      <c r="I92" s="4"/>
      <c r="J92" s="4"/>
      <c r="K92" s="4"/>
      <c r="L92" s="4"/>
      <c r="M92" s="4"/>
      <c r="N92" s="4"/>
      <c r="O92" s="4"/>
      <c r="P92" s="4"/>
      <c r="Q92" s="4"/>
      <c r="R92" s="4"/>
      <c r="S92" s="4"/>
      <c r="T92" s="4" t="n">
        <v>2</v>
      </c>
      <c r="U92" s="4"/>
      <c r="V92" s="4"/>
      <c r="W92" s="4" t="n">
        <v>3</v>
      </c>
      <c r="X92" s="4"/>
      <c r="Y92" s="4" t="n">
        <v>4</v>
      </c>
      <c r="Z92" s="4"/>
      <c r="AA92" s="4" t="n">
        <f aca="false">SUM(D92:Z92)</f>
        <v>9</v>
      </c>
    </row>
    <row r="93" customFormat="false" ht="15" hidden="false" customHeight="false" outlineLevel="0" collapsed="false">
      <c r="A93" s="4" t="s">
        <v>306</v>
      </c>
      <c r="B93" s="4" t="s">
        <v>307</v>
      </c>
      <c r="C93" s="4" t="s">
        <v>308</v>
      </c>
      <c r="D93" s="4"/>
      <c r="E93" s="4"/>
      <c r="F93" s="4"/>
      <c r="G93" s="4"/>
      <c r="H93" s="4"/>
      <c r="I93" s="4"/>
      <c r="J93" s="4"/>
      <c r="K93" s="4"/>
      <c r="L93" s="4"/>
      <c r="M93" s="4"/>
      <c r="N93" s="4"/>
      <c r="O93" s="4"/>
      <c r="P93" s="4"/>
      <c r="Q93" s="4"/>
      <c r="R93" s="4"/>
      <c r="S93" s="4"/>
      <c r="T93" s="4" t="n">
        <v>5</v>
      </c>
      <c r="U93" s="4"/>
      <c r="V93" s="4"/>
      <c r="W93" s="4"/>
      <c r="X93" s="4"/>
      <c r="Y93" s="4"/>
      <c r="Z93" s="4"/>
      <c r="AA93" s="4" t="n">
        <f aca="false">SUM(D93:Z93)</f>
        <v>5</v>
      </c>
    </row>
    <row r="94" customFormat="false" ht="15" hidden="false" customHeight="false" outlineLevel="0" collapsed="false">
      <c r="A94" s="4" t="s">
        <v>309</v>
      </c>
      <c r="B94" s="4" t="s">
        <v>310</v>
      </c>
      <c r="C94" s="4" t="s">
        <v>311</v>
      </c>
      <c r="D94" s="4"/>
      <c r="E94" s="4"/>
      <c r="F94" s="4"/>
      <c r="G94" s="4"/>
      <c r="H94" s="4"/>
      <c r="I94" s="4"/>
      <c r="J94" s="4"/>
      <c r="K94" s="4"/>
      <c r="L94" s="4"/>
      <c r="M94" s="4"/>
      <c r="N94" s="4"/>
      <c r="O94" s="4"/>
      <c r="P94" s="4"/>
      <c r="Q94" s="4"/>
      <c r="R94" s="4"/>
      <c r="S94" s="4"/>
      <c r="T94" s="4" t="n">
        <v>2</v>
      </c>
      <c r="U94" s="4"/>
      <c r="V94" s="4"/>
      <c r="W94" s="4"/>
      <c r="X94" s="4"/>
      <c r="Y94" s="4" t="n">
        <v>5</v>
      </c>
      <c r="Z94" s="4" t="n">
        <v>2</v>
      </c>
      <c r="AA94" s="4" t="n">
        <f aca="false">SUM(D94:Z94)</f>
        <v>9</v>
      </c>
    </row>
    <row r="95" customFormat="false" ht="15" hidden="false" customHeight="false" outlineLevel="0" collapsed="false">
      <c r="A95" s="4" t="s">
        <v>312</v>
      </c>
      <c r="B95" s="4" t="s">
        <v>313</v>
      </c>
      <c r="C95" s="4" t="s">
        <v>314</v>
      </c>
      <c r="D95" s="4"/>
      <c r="E95" s="4"/>
      <c r="F95" s="4"/>
      <c r="G95" s="4"/>
      <c r="H95" s="4"/>
      <c r="I95" s="4"/>
      <c r="J95" s="4"/>
      <c r="K95" s="4"/>
      <c r="L95" s="4"/>
      <c r="M95" s="4"/>
      <c r="N95" s="4"/>
      <c r="O95" s="4"/>
      <c r="P95" s="4"/>
      <c r="Q95" s="4"/>
      <c r="R95" s="4"/>
      <c r="S95" s="4"/>
      <c r="T95" s="4" t="n">
        <v>2</v>
      </c>
      <c r="U95" s="4"/>
      <c r="V95" s="4"/>
      <c r="W95" s="4"/>
      <c r="X95" s="4"/>
      <c r="Y95" s="4" t="n">
        <v>3</v>
      </c>
      <c r="Z95" s="4" t="n">
        <v>2</v>
      </c>
      <c r="AA95" s="4" t="n">
        <f aca="false">SUM(D95:Z95)</f>
        <v>7</v>
      </c>
    </row>
    <row r="96" customFormat="false" ht="15" hidden="false" customHeight="false" outlineLevel="0" collapsed="false">
      <c r="A96" s="4" t="s">
        <v>315</v>
      </c>
      <c r="B96" s="4" t="s">
        <v>316</v>
      </c>
      <c r="C96" s="4" t="s">
        <v>317</v>
      </c>
      <c r="D96" s="4"/>
      <c r="E96" s="4"/>
      <c r="F96" s="4"/>
      <c r="G96" s="4"/>
      <c r="H96" s="4"/>
      <c r="I96" s="4" t="n">
        <v>2</v>
      </c>
      <c r="J96" s="4"/>
      <c r="K96" s="4"/>
      <c r="L96" s="4"/>
      <c r="M96" s="4"/>
      <c r="N96" s="4"/>
      <c r="O96" s="4"/>
      <c r="P96" s="4"/>
      <c r="Q96" s="4"/>
      <c r="R96" s="4"/>
      <c r="S96" s="4"/>
      <c r="T96" s="4"/>
      <c r="U96" s="4"/>
      <c r="V96" s="4"/>
      <c r="W96" s="4" t="n">
        <v>6</v>
      </c>
      <c r="X96" s="4"/>
      <c r="Y96" s="4" t="n">
        <v>3</v>
      </c>
      <c r="Z96" s="4"/>
      <c r="AA96" s="4" t="n">
        <f aca="false">SUM(D96:Z96)</f>
        <v>11</v>
      </c>
    </row>
    <row r="97" customFormat="false" ht="15" hidden="false" customHeight="false" outlineLevel="0" collapsed="false">
      <c r="A97" s="4" t="s">
        <v>318</v>
      </c>
      <c r="B97" s="4" t="s">
        <v>319</v>
      </c>
      <c r="C97" s="4" t="s">
        <v>320</v>
      </c>
      <c r="D97" s="4"/>
      <c r="E97" s="4"/>
      <c r="F97" s="4"/>
      <c r="G97" s="4"/>
      <c r="H97" s="4"/>
      <c r="I97" s="4"/>
      <c r="J97" s="4"/>
      <c r="K97" s="4"/>
      <c r="L97" s="4"/>
      <c r="M97" s="4"/>
      <c r="N97" s="4"/>
      <c r="O97" s="4"/>
      <c r="P97" s="4"/>
      <c r="Q97" s="4"/>
      <c r="R97" s="4"/>
      <c r="S97" s="4"/>
      <c r="T97" s="4" t="n">
        <v>2</v>
      </c>
      <c r="U97" s="4"/>
      <c r="V97" s="4"/>
      <c r="W97" s="4"/>
      <c r="X97" s="4"/>
      <c r="Y97" s="4" t="n">
        <v>11</v>
      </c>
      <c r="Z97" s="4" t="n">
        <v>5</v>
      </c>
      <c r="AA97" s="4" t="n">
        <f aca="false">SUM(D97:Z97)</f>
        <v>18</v>
      </c>
    </row>
    <row r="98" customFormat="false" ht="15" hidden="false" customHeight="false" outlineLevel="0" collapsed="false">
      <c r="A98" s="4" t="s">
        <v>321</v>
      </c>
      <c r="B98" s="4" t="s">
        <v>322</v>
      </c>
      <c r="C98" s="4" t="s">
        <v>323</v>
      </c>
      <c r="D98" s="4"/>
      <c r="E98" s="4"/>
      <c r="F98" s="4"/>
      <c r="G98" s="4"/>
      <c r="H98" s="4"/>
      <c r="I98" s="4"/>
      <c r="J98" s="4"/>
      <c r="K98" s="4"/>
      <c r="L98" s="4"/>
      <c r="M98" s="4"/>
      <c r="N98" s="4"/>
      <c r="O98" s="4"/>
      <c r="P98" s="4"/>
      <c r="Q98" s="4"/>
      <c r="R98" s="4"/>
      <c r="S98" s="4"/>
      <c r="T98" s="4" t="n">
        <v>2</v>
      </c>
      <c r="U98" s="4"/>
      <c r="V98" s="4"/>
      <c r="W98" s="4"/>
      <c r="X98" s="4"/>
      <c r="Y98" s="4" t="n">
        <v>5</v>
      </c>
      <c r="Z98" s="4" t="n">
        <v>2</v>
      </c>
      <c r="AA98" s="4" t="n">
        <f aca="false">SUM(D98:Z98)</f>
        <v>9</v>
      </c>
    </row>
    <row r="99" customFormat="false" ht="15" hidden="false" customHeight="false" outlineLevel="0" collapsed="false">
      <c r="A99" s="4" t="s">
        <v>324</v>
      </c>
      <c r="B99" s="4" t="s">
        <v>325</v>
      </c>
      <c r="C99" s="4" t="s">
        <v>326</v>
      </c>
      <c r="D99" s="4"/>
      <c r="E99" s="4"/>
      <c r="F99" s="4"/>
      <c r="G99" s="4"/>
      <c r="H99" s="4"/>
      <c r="I99" s="4"/>
      <c r="J99" s="4"/>
      <c r="K99" s="4"/>
      <c r="L99" s="4"/>
      <c r="M99" s="4"/>
      <c r="N99" s="4"/>
      <c r="O99" s="4"/>
      <c r="P99" s="4"/>
      <c r="Q99" s="4"/>
      <c r="R99" s="4"/>
      <c r="S99" s="4"/>
      <c r="T99" s="4" t="n">
        <v>5</v>
      </c>
      <c r="U99" s="4"/>
      <c r="V99" s="4"/>
      <c r="W99" s="4"/>
      <c r="X99" s="4"/>
      <c r="Y99" s="4"/>
      <c r="Z99" s="4"/>
      <c r="AA99" s="4" t="n">
        <f aca="false">SUM(D99:Z99)</f>
        <v>5</v>
      </c>
    </row>
    <row r="100" customFormat="false" ht="15" hidden="false" customHeight="false" outlineLevel="0" collapsed="false">
      <c r="A100" s="4" t="s">
        <v>327</v>
      </c>
      <c r="B100" s="4" t="s">
        <v>328</v>
      </c>
      <c r="C100" s="4" t="s">
        <v>329</v>
      </c>
      <c r="D100" s="4"/>
      <c r="E100" s="4"/>
      <c r="F100" s="4"/>
      <c r="G100" s="4"/>
      <c r="H100" s="4"/>
      <c r="I100" s="4"/>
      <c r="J100" s="4"/>
      <c r="K100" s="4"/>
      <c r="L100" s="4"/>
      <c r="M100" s="4"/>
      <c r="N100" s="4"/>
      <c r="O100" s="4"/>
      <c r="P100" s="4"/>
      <c r="Q100" s="4"/>
      <c r="R100" s="4"/>
      <c r="S100" s="4"/>
      <c r="T100" s="4" t="n">
        <v>5</v>
      </c>
      <c r="U100" s="4"/>
      <c r="V100" s="4"/>
      <c r="W100" s="4"/>
      <c r="X100" s="4"/>
      <c r="Y100" s="4"/>
      <c r="Z100" s="4"/>
      <c r="AA100" s="4" t="n">
        <f aca="false">SUM(D100:Z100)</f>
        <v>5</v>
      </c>
    </row>
    <row r="101" customFormat="false" ht="15" hidden="false" customHeight="false" outlineLevel="0" collapsed="false">
      <c r="A101" s="4" t="s">
        <v>330</v>
      </c>
      <c r="B101" s="4" t="s">
        <v>331</v>
      </c>
      <c r="C101" s="4" t="s">
        <v>332</v>
      </c>
      <c r="D101" s="4"/>
      <c r="E101" s="4"/>
      <c r="F101" s="4"/>
      <c r="G101" s="4"/>
      <c r="H101" s="4"/>
      <c r="I101" s="4"/>
      <c r="J101" s="4"/>
      <c r="K101" s="4"/>
      <c r="L101" s="4"/>
      <c r="M101" s="4"/>
      <c r="N101" s="4"/>
      <c r="O101" s="4"/>
      <c r="P101" s="4"/>
      <c r="Q101" s="4"/>
      <c r="R101" s="4"/>
      <c r="S101" s="4"/>
      <c r="T101" s="4" t="n">
        <v>2</v>
      </c>
      <c r="U101" s="4"/>
      <c r="V101" s="4"/>
      <c r="W101" s="4"/>
      <c r="X101" s="4"/>
      <c r="Y101" s="4" t="n">
        <v>5</v>
      </c>
      <c r="Z101" s="4" t="n">
        <v>2</v>
      </c>
      <c r="AA101" s="4" t="n">
        <f aca="false">SUM(D101:Z101)</f>
        <v>9</v>
      </c>
    </row>
    <row r="102" customFormat="false" ht="15" hidden="false" customHeight="false" outlineLevel="0" collapsed="false">
      <c r="A102" s="4" t="s">
        <v>333</v>
      </c>
      <c r="B102" s="4" t="s">
        <v>334</v>
      </c>
      <c r="C102" s="4" t="s">
        <v>335</v>
      </c>
      <c r="D102" s="4"/>
      <c r="E102" s="4"/>
      <c r="F102" s="4"/>
      <c r="G102" s="4"/>
      <c r="H102" s="4"/>
      <c r="I102" s="4"/>
      <c r="J102" s="4"/>
      <c r="K102" s="4"/>
      <c r="L102" s="4"/>
      <c r="M102" s="4"/>
      <c r="N102" s="4"/>
      <c r="O102" s="4"/>
      <c r="P102" s="4"/>
      <c r="Q102" s="4"/>
      <c r="R102" s="4"/>
      <c r="S102" s="4"/>
      <c r="T102" s="4" t="n">
        <v>2</v>
      </c>
      <c r="U102" s="4"/>
      <c r="V102" s="4"/>
      <c r="W102" s="4"/>
      <c r="X102" s="4"/>
      <c r="Y102" s="4" t="n">
        <v>9</v>
      </c>
      <c r="Z102" s="4" t="n">
        <v>4</v>
      </c>
      <c r="AA102" s="4" t="n">
        <f aca="false">SUM(D102:Z102)</f>
        <v>15</v>
      </c>
    </row>
    <row r="103" customFormat="false" ht="15" hidden="false" customHeight="false" outlineLevel="0" collapsed="false">
      <c r="A103" s="4" t="s">
        <v>336</v>
      </c>
      <c r="B103" s="4" t="s">
        <v>337</v>
      </c>
      <c r="C103" s="4" t="s">
        <v>338</v>
      </c>
      <c r="D103" s="4"/>
      <c r="E103" s="4"/>
      <c r="F103" s="4"/>
      <c r="G103" s="4"/>
      <c r="H103" s="4"/>
      <c r="I103" s="4"/>
      <c r="J103" s="4"/>
      <c r="K103" s="4"/>
      <c r="L103" s="4"/>
      <c r="M103" s="4"/>
      <c r="N103" s="4"/>
      <c r="O103" s="4"/>
      <c r="P103" s="4"/>
      <c r="Q103" s="4"/>
      <c r="R103" s="4"/>
      <c r="S103" s="4"/>
      <c r="T103" s="4" t="n">
        <v>2</v>
      </c>
      <c r="U103" s="4" t="n">
        <v>2</v>
      </c>
      <c r="V103" s="4"/>
      <c r="W103" s="4"/>
      <c r="X103" s="4"/>
      <c r="Y103" s="4"/>
      <c r="Z103" s="4"/>
      <c r="AA103" s="4" t="n">
        <f aca="false">SUM(D103:Z103)</f>
        <v>4</v>
      </c>
    </row>
    <row r="104" customFormat="false" ht="15" hidden="false" customHeight="false" outlineLevel="0" collapsed="false">
      <c r="A104" s="4" t="s">
        <v>339</v>
      </c>
      <c r="B104" s="4" t="s">
        <v>340</v>
      </c>
      <c r="C104" s="4" t="s">
        <v>341</v>
      </c>
      <c r="D104" s="4"/>
      <c r="E104" s="4"/>
      <c r="F104" s="4"/>
      <c r="G104" s="4"/>
      <c r="H104" s="4"/>
      <c r="I104" s="4"/>
      <c r="J104" s="4"/>
      <c r="K104" s="4"/>
      <c r="L104" s="4"/>
      <c r="M104" s="4"/>
      <c r="N104" s="4"/>
      <c r="O104" s="4"/>
      <c r="P104" s="4"/>
      <c r="Q104" s="4"/>
      <c r="R104" s="4"/>
      <c r="S104" s="4"/>
      <c r="T104" s="4" t="n">
        <v>2</v>
      </c>
      <c r="U104" s="4"/>
      <c r="V104" s="4"/>
      <c r="W104" s="4"/>
      <c r="X104" s="4"/>
      <c r="Y104" s="4" t="n">
        <v>5</v>
      </c>
      <c r="Z104" s="4" t="n">
        <v>2</v>
      </c>
      <c r="AA104" s="4" t="n">
        <f aca="false">SUM(D104:Z104)</f>
        <v>9</v>
      </c>
    </row>
    <row r="105" customFormat="false" ht="15" hidden="false" customHeight="false" outlineLevel="0" collapsed="false">
      <c r="A105" s="4" t="s">
        <v>342</v>
      </c>
      <c r="B105" s="4" t="s">
        <v>343</v>
      </c>
      <c r="C105" s="4" t="s">
        <v>344</v>
      </c>
      <c r="D105" s="4"/>
      <c r="E105" s="4"/>
      <c r="F105" s="4"/>
      <c r="G105" s="4"/>
      <c r="H105" s="4"/>
      <c r="I105" s="4"/>
      <c r="J105" s="4"/>
      <c r="K105" s="4"/>
      <c r="L105" s="4"/>
      <c r="M105" s="4"/>
      <c r="N105" s="4"/>
      <c r="O105" s="4"/>
      <c r="P105" s="4"/>
      <c r="Q105" s="4"/>
      <c r="R105" s="4"/>
      <c r="S105" s="4"/>
      <c r="T105" s="4" t="n">
        <v>2</v>
      </c>
      <c r="U105" s="4"/>
      <c r="V105" s="4"/>
      <c r="W105" s="4"/>
      <c r="X105" s="4"/>
      <c r="Y105" s="4" t="n">
        <v>4</v>
      </c>
      <c r="Z105" s="4"/>
      <c r="AA105" s="4" t="n">
        <f aca="false">SUM(D105:Z105)</f>
        <v>6</v>
      </c>
    </row>
    <row r="106" customFormat="false" ht="15" hidden="false" customHeight="false" outlineLevel="0" collapsed="false">
      <c r="A106" s="4" t="s">
        <v>345</v>
      </c>
      <c r="B106" s="4" t="s">
        <v>346</v>
      </c>
      <c r="C106" s="4" t="s">
        <v>347</v>
      </c>
      <c r="D106" s="4"/>
      <c r="E106" s="4"/>
      <c r="F106" s="4"/>
      <c r="G106" s="4"/>
      <c r="H106" s="4"/>
      <c r="I106" s="4"/>
      <c r="J106" s="4"/>
      <c r="K106" s="4"/>
      <c r="L106" s="4"/>
      <c r="M106" s="4"/>
      <c r="N106" s="4"/>
      <c r="O106" s="4"/>
      <c r="P106" s="4"/>
      <c r="Q106" s="4"/>
      <c r="R106" s="4"/>
      <c r="S106" s="4"/>
      <c r="T106" s="4" t="n">
        <v>2</v>
      </c>
      <c r="U106" s="4"/>
      <c r="V106" s="4"/>
      <c r="W106" s="4"/>
      <c r="X106" s="4"/>
      <c r="Y106" s="4" t="n">
        <v>9</v>
      </c>
      <c r="Z106" s="4" t="n">
        <v>4</v>
      </c>
      <c r="AA106" s="4" t="n">
        <f aca="false">SUM(D106:Z106)</f>
        <v>15</v>
      </c>
    </row>
    <row r="107" customFormat="false" ht="15" hidden="false" customHeight="false" outlineLevel="0" collapsed="false">
      <c r="A107" s="4" t="s">
        <v>348</v>
      </c>
      <c r="B107" s="4" t="s">
        <v>349</v>
      </c>
      <c r="C107" s="4" t="s">
        <v>350</v>
      </c>
      <c r="D107" s="4"/>
      <c r="E107" s="4"/>
      <c r="F107" s="4"/>
      <c r="G107" s="4"/>
      <c r="H107" s="4"/>
      <c r="I107" s="4"/>
      <c r="J107" s="4"/>
      <c r="K107" s="4"/>
      <c r="L107" s="4"/>
      <c r="M107" s="4"/>
      <c r="N107" s="4"/>
      <c r="O107" s="4"/>
      <c r="P107" s="4"/>
      <c r="Q107" s="4"/>
      <c r="R107" s="4"/>
      <c r="S107" s="4"/>
      <c r="T107" s="4" t="n">
        <v>5</v>
      </c>
      <c r="U107" s="4"/>
      <c r="V107" s="4"/>
      <c r="W107" s="4"/>
      <c r="X107" s="4"/>
      <c r="Y107" s="4"/>
      <c r="Z107" s="4"/>
      <c r="AA107" s="4" t="n">
        <f aca="false">SUM(D107:Z107)</f>
        <v>5</v>
      </c>
    </row>
    <row r="108" customFormat="false" ht="15" hidden="false" customHeight="false" outlineLevel="0" collapsed="false">
      <c r="A108" s="4" t="s">
        <v>351</v>
      </c>
      <c r="B108" s="4" t="s">
        <v>352</v>
      </c>
      <c r="C108" s="4" t="s">
        <v>353</v>
      </c>
      <c r="D108" s="4"/>
      <c r="E108" s="4"/>
      <c r="F108" s="4"/>
      <c r="G108" s="4"/>
      <c r="H108" s="4"/>
      <c r="I108" s="4"/>
      <c r="J108" s="4"/>
      <c r="K108" s="4"/>
      <c r="L108" s="4"/>
      <c r="M108" s="4"/>
      <c r="N108" s="4"/>
      <c r="O108" s="4"/>
      <c r="P108" s="4"/>
      <c r="Q108" s="4"/>
      <c r="R108" s="4"/>
      <c r="S108" s="4"/>
      <c r="T108" s="4" t="n">
        <v>6</v>
      </c>
      <c r="U108" s="4"/>
      <c r="V108" s="4"/>
      <c r="W108" s="4"/>
      <c r="X108" s="4"/>
      <c r="Y108" s="4"/>
      <c r="Z108" s="4"/>
      <c r="AA108" s="4" t="n">
        <f aca="false">SUM(D108:Z108)</f>
        <v>6</v>
      </c>
    </row>
    <row r="109" customFormat="false" ht="15" hidden="false" customHeight="false" outlineLevel="0" collapsed="false">
      <c r="A109" s="4" t="s">
        <v>354</v>
      </c>
      <c r="B109" s="4" t="s">
        <v>355</v>
      </c>
      <c r="C109" s="4" t="s">
        <v>356</v>
      </c>
      <c r="D109" s="4"/>
      <c r="E109" s="4"/>
      <c r="F109" s="4"/>
      <c r="G109" s="4"/>
      <c r="H109" s="4"/>
      <c r="I109" s="4"/>
      <c r="J109" s="4"/>
      <c r="K109" s="4"/>
      <c r="L109" s="4"/>
      <c r="M109" s="4"/>
      <c r="N109" s="4"/>
      <c r="O109" s="4"/>
      <c r="P109" s="4"/>
      <c r="Q109" s="4"/>
      <c r="R109" s="4"/>
      <c r="S109" s="4"/>
      <c r="T109" s="4" t="n">
        <v>6</v>
      </c>
      <c r="U109" s="4"/>
      <c r="V109" s="4"/>
      <c r="W109" s="4"/>
      <c r="X109" s="4"/>
      <c r="Y109" s="4"/>
      <c r="Z109" s="4"/>
      <c r="AA109" s="4" t="n">
        <f aca="false">SUM(D109:Z109)</f>
        <v>6</v>
      </c>
    </row>
  </sheetData>
  <autoFilter ref="A2:AA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20"/>
    <col collapsed="false" customWidth="true" hidden="false" outlineLevel="0" max="4" min="4" style="0" width="26"/>
    <col collapsed="false" customWidth="true" hidden="false" outlineLevel="0" max="5" min="5" style="0" width="40"/>
  </cols>
  <sheetData>
    <row r="1" customFormat="false" ht="15" hidden="false" customHeight="false" outlineLevel="0" collapsed="false">
      <c r="A1" s="1" t="s">
        <v>0</v>
      </c>
      <c r="B1" s="1" t="n">
        <f aca="false">SUM(B3:B35)</f>
        <v>1969</v>
      </c>
      <c r="C1" s="1"/>
      <c r="D1" s="1" t="n">
        <f aca="false">SUM(D3:D35)</f>
        <v>3880</v>
      </c>
      <c r="E1" s="1"/>
    </row>
    <row r="2" customFormat="false" ht="15" hidden="false" customHeight="false" outlineLevel="0" collapsed="false">
      <c r="A2" s="2" t="s">
        <v>849</v>
      </c>
      <c r="B2" s="2" t="s">
        <v>421</v>
      </c>
      <c r="C2" s="2" t="s">
        <v>850</v>
      </c>
      <c r="D2" s="2" t="s">
        <v>851</v>
      </c>
      <c r="E2" s="2" t="s">
        <v>852</v>
      </c>
    </row>
    <row r="3" customFormat="false" ht="15" hidden="false" customHeight="false" outlineLevel="0" collapsed="false">
      <c r="A3" s="4" t="s">
        <v>853</v>
      </c>
      <c r="B3" s="4" t="n">
        <v>0</v>
      </c>
      <c r="C3" s="6" t="n">
        <f aca="false">IF($B$1=0,0,B3/$B$1)</f>
        <v>0</v>
      </c>
      <c r="D3" s="4" t="n">
        <v>1</v>
      </c>
      <c r="E3" s="4" t="s">
        <v>854</v>
      </c>
    </row>
    <row r="4" customFormat="false" ht="15" hidden="false" customHeight="false" outlineLevel="0" collapsed="false">
      <c r="A4" s="4" t="s">
        <v>855</v>
      </c>
      <c r="B4" s="4" t="n">
        <v>72</v>
      </c>
      <c r="C4" s="6" t="n">
        <f aca="false">IF($B$1=0,0,B4/$B$1)</f>
        <v>0.0365667851701371</v>
      </c>
      <c r="D4" s="4" t="n">
        <v>147</v>
      </c>
      <c r="E4" s="4" t="s">
        <v>856</v>
      </c>
    </row>
    <row r="5" customFormat="false" ht="15" hidden="false" customHeight="false" outlineLevel="0" collapsed="false">
      <c r="A5" s="4" t="s">
        <v>857</v>
      </c>
      <c r="B5" s="4" t="n">
        <v>18</v>
      </c>
      <c r="C5" s="6" t="n">
        <f aca="false">IF($B$1=0,0,B5/$B$1)</f>
        <v>0.00914169629253428</v>
      </c>
      <c r="D5" s="4" t="n">
        <v>3</v>
      </c>
      <c r="E5" s="4" t="s">
        <v>858</v>
      </c>
    </row>
    <row r="6" customFormat="false" ht="15" hidden="false" customHeight="false" outlineLevel="0" collapsed="false">
      <c r="A6" s="4" t="s">
        <v>859</v>
      </c>
      <c r="B6" s="4" t="n">
        <v>21</v>
      </c>
      <c r="C6" s="6" t="n">
        <f aca="false">IF($B$1=0,0,B6/$B$1)</f>
        <v>0.01066531234129</v>
      </c>
      <c r="D6" s="4" t="n">
        <v>42</v>
      </c>
      <c r="E6" s="4" t="s">
        <v>860</v>
      </c>
    </row>
    <row r="7" customFormat="false" ht="15" hidden="false" customHeight="false" outlineLevel="0" collapsed="false">
      <c r="A7" s="4" t="s">
        <v>861</v>
      </c>
      <c r="B7" s="4" t="n">
        <v>36</v>
      </c>
      <c r="C7" s="6" t="n">
        <f aca="false">IF($B$1=0,0,B7/$B$1)</f>
        <v>0.0182833925850686</v>
      </c>
      <c r="D7" s="4" t="n">
        <v>43</v>
      </c>
      <c r="E7" s="4" t="s">
        <v>862</v>
      </c>
    </row>
    <row r="8" customFormat="false" ht="15" hidden="false" customHeight="false" outlineLevel="0" collapsed="false">
      <c r="A8" s="4" t="s">
        <v>863</v>
      </c>
      <c r="B8" s="4" t="n">
        <v>10</v>
      </c>
      <c r="C8" s="6" t="n">
        <f aca="false">IF($B$1=0,0,B8/$B$1)</f>
        <v>0.00507872016251905</v>
      </c>
      <c r="D8" s="4" t="n">
        <v>11</v>
      </c>
      <c r="E8" s="4" t="s">
        <v>864</v>
      </c>
    </row>
    <row r="9" customFormat="false" ht="15" hidden="false" customHeight="false" outlineLevel="0" collapsed="false">
      <c r="A9" s="4" t="s">
        <v>865</v>
      </c>
      <c r="B9" s="4" t="n">
        <v>23</v>
      </c>
      <c r="C9" s="6" t="n">
        <f aca="false">IF($B$1=0,0,B9/$B$1)</f>
        <v>0.0116810563737938</v>
      </c>
      <c r="D9" s="4" t="n">
        <v>43</v>
      </c>
      <c r="E9" s="4" t="s">
        <v>866</v>
      </c>
    </row>
    <row r="10" customFormat="false" ht="15" hidden="false" customHeight="false" outlineLevel="0" collapsed="false">
      <c r="A10" s="4" t="s">
        <v>867</v>
      </c>
      <c r="B10" s="4" t="n">
        <v>2</v>
      </c>
      <c r="C10" s="6" t="n">
        <f aca="false">IF($B$1=0,0,B10/$B$1)</f>
        <v>0.00101574403250381</v>
      </c>
      <c r="D10" s="4" t="n">
        <v>2</v>
      </c>
      <c r="E10" s="4" t="s">
        <v>868</v>
      </c>
    </row>
    <row r="11" customFormat="false" ht="15" hidden="false" customHeight="false" outlineLevel="0" collapsed="false">
      <c r="A11" s="4" t="s">
        <v>869</v>
      </c>
      <c r="B11" s="4" t="n">
        <v>207</v>
      </c>
      <c r="C11" s="6" t="n">
        <f aca="false">IF($B$1=0,0,B11/$B$1)</f>
        <v>0.105129507364144</v>
      </c>
      <c r="D11" s="4" t="n">
        <v>197</v>
      </c>
      <c r="E11" s="4" t="s">
        <v>870</v>
      </c>
    </row>
    <row r="12" customFormat="false" ht="15" hidden="false" customHeight="false" outlineLevel="0" collapsed="false">
      <c r="A12" s="4" t="s">
        <v>871</v>
      </c>
      <c r="B12" s="4" t="n">
        <v>11</v>
      </c>
      <c r="C12" s="6" t="n">
        <f aca="false">IF($B$1=0,0,B12/$B$1)</f>
        <v>0.00558659217877095</v>
      </c>
      <c r="D12" s="4" t="n">
        <v>33</v>
      </c>
      <c r="E12" s="4" t="s">
        <v>872</v>
      </c>
    </row>
    <row r="13" customFormat="false" ht="15" hidden="false" customHeight="false" outlineLevel="0" collapsed="false">
      <c r="A13" s="4" t="s">
        <v>873</v>
      </c>
      <c r="B13" s="4" t="n">
        <v>78</v>
      </c>
      <c r="C13" s="6" t="n">
        <f aca="false">IF($B$1=0,0,B13/$B$1)</f>
        <v>0.0396140172676486</v>
      </c>
      <c r="D13" s="4" t="n">
        <v>151</v>
      </c>
      <c r="E13" s="4" t="s">
        <v>874</v>
      </c>
    </row>
    <row r="14" customFormat="false" ht="15" hidden="false" customHeight="false" outlineLevel="0" collapsed="false">
      <c r="A14" s="4" t="s">
        <v>875</v>
      </c>
      <c r="B14" s="4" t="n">
        <v>127</v>
      </c>
      <c r="C14" s="6" t="n">
        <f aca="false">IF($B$1=0,0,B14/$B$1)</f>
        <v>0.0644997460639919</v>
      </c>
      <c r="D14" s="4" t="n">
        <v>106</v>
      </c>
      <c r="E14" s="4" t="s">
        <v>876</v>
      </c>
    </row>
    <row r="15" customFormat="false" ht="15" hidden="false" customHeight="false" outlineLevel="0" collapsed="false">
      <c r="A15" s="4" t="s">
        <v>877</v>
      </c>
      <c r="B15" s="4" t="n">
        <v>27</v>
      </c>
      <c r="C15" s="6" t="n">
        <f aca="false">IF($B$1=0,0,B15/$B$1)</f>
        <v>0.0137125444388014</v>
      </c>
      <c r="D15" s="4" t="n">
        <v>28</v>
      </c>
      <c r="E15" s="4" t="s">
        <v>878</v>
      </c>
    </row>
    <row r="16" customFormat="false" ht="15" hidden="false" customHeight="false" outlineLevel="0" collapsed="false">
      <c r="A16" s="4" t="s">
        <v>879</v>
      </c>
      <c r="B16" s="4" t="n">
        <v>23</v>
      </c>
      <c r="C16" s="6" t="n">
        <f aca="false">IF($B$1=0,0,B16/$B$1)</f>
        <v>0.0116810563737938</v>
      </c>
      <c r="D16" s="4" t="n">
        <v>33</v>
      </c>
      <c r="E16" s="4" t="s">
        <v>880</v>
      </c>
    </row>
    <row r="17" customFormat="false" ht="15" hidden="false" customHeight="false" outlineLevel="0" collapsed="false">
      <c r="A17" s="4" t="s">
        <v>881</v>
      </c>
      <c r="B17" s="4" t="n">
        <v>11</v>
      </c>
      <c r="C17" s="6" t="n">
        <f aca="false">IF($B$1=0,0,B17/$B$1)</f>
        <v>0.00558659217877095</v>
      </c>
      <c r="D17" s="4" t="n">
        <v>31</v>
      </c>
      <c r="E17" s="4" t="s">
        <v>882</v>
      </c>
    </row>
    <row r="18" customFormat="false" ht="15" hidden="false" customHeight="false" outlineLevel="0" collapsed="false">
      <c r="A18" s="4" t="s">
        <v>883</v>
      </c>
      <c r="B18" s="4" t="n">
        <v>136</v>
      </c>
      <c r="C18" s="6" t="n">
        <f aca="false">IF($B$1=0,0,B18/$B$1)</f>
        <v>0.069070594210259</v>
      </c>
      <c r="D18" s="4" t="n">
        <v>502</v>
      </c>
      <c r="E18" s="4" t="s">
        <v>884</v>
      </c>
    </row>
    <row r="19" customFormat="false" ht="15" hidden="false" customHeight="false" outlineLevel="0" collapsed="false">
      <c r="A19" s="4" t="s">
        <v>885</v>
      </c>
      <c r="B19" s="4" t="n">
        <v>38</v>
      </c>
      <c r="C19" s="6" t="n">
        <f aca="false">IF($B$1=0,0,B19/$B$1)</f>
        <v>0.0192991366175724</v>
      </c>
      <c r="D19" s="4" t="n">
        <v>258</v>
      </c>
      <c r="E19" s="4" t="s">
        <v>886</v>
      </c>
    </row>
    <row r="20" customFormat="false" ht="15" hidden="false" customHeight="false" outlineLevel="0" collapsed="false">
      <c r="A20" s="4" t="s">
        <v>887</v>
      </c>
      <c r="B20" s="4" t="n">
        <v>46</v>
      </c>
      <c r="C20" s="6" t="n">
        <f aca="false">IF($B$1=0,0,B20/$B$1)</f>
        <v>0.0233621127475876</v>
      </c>
      <c r="D20" s="4" t="n">
        <v>104</v>
      </c>
      <c r="E20" s="4" t="s">
        <v>888</v>
      </c>
    </row>
    <row r="21" customFormat="false" ht="15" hidden="false" customHeight="false" outlineLevel="0" collapsed="false">
      <c r="A21" s="4" t="s">
        <v>889</v>
      </c>
      <c r="B21" s="4" t="n">
        <v>240</v>
      </c>
      <c r="C21" s="6" t="n">
        <f aca="false">IF($B$1=0,0,B21/$B$1)</f>
        <v>0.121889283900457</v>
      </c>
      <c r="D21" s="4" t="n">
        <v>697</v>
      </c>
      <c r="E21" s="4" t="s">
        <v>890</v>
      </c>
    </row>
    <row r="22" customFormat="false" ht="15" hidden="false" customHeight="false" outlineLevel="0" collapsed="false">
      <c r="A22" s="4" t="s">
        <v>891</v>
      </c>
      <c r="B22" s="4" t="n">
        <v>16</v>
      </c>
      <c r="C22" s="6" t="n">
        <f aca="false">IF($B$1=0,0,B22/$B$1)</f>
        <v>0.00812595226003047</v>
      </c>
      <c r="D22" s="4" t="n">
        <v>15</v>
      </c>
      <c r="E22" s="4" t="s">
        <v>892</v>
      </c>
    </row>
    <row r="23" customFormat="false" ht="15" hidden="false" customHeight="false" outlineLevel="0" collapsed="false">
      <c r="A23" s="4" t="s">
        <v>893</v>
      </c>
      <c r="B23" s="4" t="n">
        <v>6</v>
      </c>
      <c r="C23" s="6" t="n">
        <f aca="false">IF($B$1=0,0,B23/$B$1)</f>
        <v>0.00304723209751143</v>
      </c>
      <c r="D23" s="4" t="n">
        <v>16</v>
      </c>
      <c r="E23" s="4" t="s">
        <v>894</v>
      </c>
    </row>
    <row r="24" customFormat="false" ht="15" hidden="false" customHeight="false" outlineLevel="0" collapsed="false">
      <c r="A24" s="4" t="s">
        <v>895</v>
      </c>
      <c r="B24" s="4" t="n">
        <v>4</v>
      </c>
      <c r="C24" s="6" t="n">
        <f aca="false">IF($B$1=0,0,B24/$B$1)</f>
        <v>0.00203148806500762</v>
      </c>
      <c r="D24" s="4" t="n">
        <v>11</v>
      </c>
      <c r="E24" s="4" t="s">
        <v>896</v>
      </c>
    </row>
    <row r="25" customFormat="false" ht="15" hidden="false" customHeight="false" outlineLevel="0" collapsed="false">
      <c r="A25" s="4" t="s">
        <v>897</v>
      </c>
      <c r="B25" s="4" t="n">
        <v>17</v>
      </c>
      <c r="C25" s="6" t="n">
        <f aca="false">IF($B$1=0,0,B25/$B$1)</f>
        <v>0.00863382427628238</v>
      </c>
      <c r="D25" s="4" t="n">
        <v>61</v>
      </c>
      <c r="E25" s="4" t="s">
        <v>898</v>
      </c>
    </row>
    <row r="26" customFormat="false" ht="15" hidden="false" customHeight="false" outlineLevel="0" collapsed="false">
      <c r="A26" s="4" t="s">
        <v>899</v>
      </c>
      <c r="B26" s="4" t="n">
        <v>10</v>
      </c>
      <c r="C26" s="6" t="n">
        <f aca="false">IF($B$1=0,0,B26/$B$1)</f>
        <v>0.00507872016251905</v>
      </c>
      <c r="D26" s="4" t="n">
        <v>10</v>
      </c>
      <c r="E26" s="4" t="s">
        <v>900</v>
      </c>
    </row>
    <row r="27" customFormat="false" ht="15" hidden="false" customHeight="false" outlineLevel="0" collapsed="false">
      <c r="A27" s="4" t="s">
        <v>901</v>
      </c>
      <c r="B27" s="4" t="n">
        <v>128</v>
      </c>
      <c r="C27" s="6" t="n">
        <f aca="false">IF($B$1=0,0,B27/$B$1)</f>
        <v>0.0650076180802438</v>
      </c>
      <c r="D27" s="4" t="n">
        <v>104</v>
      </c>
      <c r="E27" s="4" t="s">
        <v>902</v>
      </c>
    </row>
    <row r="28" customFormat="false" ht="15" hidden="false" customHeight="false" outlineLevel="0" collapsed="false">
      <c r="A28" s="4" t="s">
        <v>903</v>
      </c>
      <c r="B28" s="4" t="n">
        <v>103</v>
      </c>
      <c r="C28" s="6" t="n">
        <f aca="false">IF($B$1=0,0,B28/$B$1)</f>
        <v>0.0523108176739462</v>
      </c>
      <c r="D28" s="4" t="n">
        <v>101</v>
      </c>
      <c r="E28" s="4" t="s">
        <v>904</v>
      </c>
    </row>
    <row r="29" customFormat="false" ht="15" hidden="false" customHeight="false" outlineLevel="0" collapsed="false">
      <c r="A29" s="4" t="s">
        <v>905</v>
      </c>
      <c r="B29" s="4" t="n">
        <v>3</v>
      </c>
      <c r="C29" s="6" t="n">
        <f aca="false">IF($B$1=0,0,B29/$B$1)</f>
        <v>0.00152361604875571</v>
      </c>
      <c r="D29" s="4" t="n">
        <v>3</v>
      </c>
      <c r="E29" s="4" t="s">
        <v>906</v>
      </c>
    </row>
    <row r="30" customFormat="false" ht="15" hidden="false" customHeight="false" outlineLevel="0" collapsed="false">
      <c r="A30" s="4" t="s">
        <v>907</v>
      </c>
      <c r="B30" s="4" t="n">
        <v>59</v>
      </c>
      <c r="C30" s="6" t="n">
        <f aca="false">IF($B$1=0,0,B30/$B$1)</f>
        <v>0.0299644489588624</v>
      </c>
      <c r="D30" s="4" t="n">
        <v>364</v>
      </c>
      <c r="E30" s="4" t="s">
        <v>908</v>
      </c>
    </row>
    <row r="31" customFormat="false" ht="15" hidden="false" customHeight="false" outlineLevel="0" collapsed="false">
      <c r="A31" s="4" t="s">
        <v>909</v>
      </c>
      <c r="B31" s="4" t="n">
        <v>93</v>
      </c>
      <c r="C31" s="6" t="n">
        <f aca="false">IF($B$1=0,0,B31/$B$1)</f>
        <v>0.0472320975114271</v>
      </c>
      <c r="D31" s="4" t="n">
        <v>293</v>
      </c>
      <c r="E31" s="4" t="s">
        <v>910</v>
      </c>
    </row>
    <row r="32" customFormat="false" ht="15" hidden="false" customHeight="false" outlineLevel="0" collapsed="false">
      <c r="A32" s="4" t="s">
        <v>911</v>
      </c>
      <c r="B32" s="4" t="n">
        <v>3</v>
      </c>
      <c r="C32" s="6" t="n">
        <f aca="false">IF($B$1=0,0,B32/$B$1)</f>
        <v>0.00152361604875571</v>
      </c>
      <c r="D32" s="4" t="n">
        <v>4</v>
      </c>
      <c r="E32" s="4" t="s">
        <v>912</v>
      </c>
    </row>
    <row r="33" customFormat="false" ht="15" hidden="false" customHeight="false" outlineLevel="0" collapsed="false">
      <c r="A33" s="4" t="s">
        <v>913</v>
      </c>
      <c r="B33" s="4" t="n">
        <v>244</v>
      </c>
      <c r="C33" s="6" t="n">
        <f aca="false">IF($B$1=0,0,B33/$B$1)</f>
        <v>0.123920771965465</v>
      </c>
      <c r="D33" s="4" t="n">
        <v>238</v>
      </c>
      <c r="E33" s="4" t="s">
        <v>914</v>
      </c>
    </row>
    <row r="34" customFormat="false" ht="15" hidden="false" customHeight="false" outlineLevel="0" collapsed="false">
      <c r="A34" s="4" t="s">
        <v>915</v>
      </c>
      <c r="B34" s="4" t="n">
        <v>39</v>
      </c>
      <c r="C34" s="6" t="n">
        <f aca="false">IF($B$1=0,0,B34/$B$1)</f>
        <v>0.0198070086338243</v>
      </c>
      <c r="D34" s="4" t="n">
        <v>38</v>
      </c>
      <c r="E34" s="4" t="s">
        <v>916</v>
      </c>
    </row>
    <row r="35" customFormat="false" ht="15" hidden="false" customHeight="false" outlineLevel="0" collapsed="false">
      <c r="A35" s="4" t="s">
        <v>917</v>
      </c>
      <c r="B35" s="4" t="n">
        <v>118</v>
      </c>
      <c r="C35" s="6" t="n">
        <f aca="false">IF($B$1=0,0,B35/$B$1)</f>
        <v>0.0599288979177247</v>
      </c>
      <c r="D35" s="4" t="n">
        <v>190</v>
      </c>
      <c r="E35" s="4" t="s">
        <v>918</v>
      </c>
    </row>
    <row r="38" customFormat="false" ht="15" hidden="false" customHeight="false" outlineLevel="0" collapsed="false">
      <c r="A38" s="9" t="s">
        <v>919</v>
      </c>
    </row>
    <row r="39" customFormat="false" ht="15" hidden="false" customHeight="false" outlineLevel="0" collapsed="false">
      <c r="A39" s="11" t="s">
        <v>357</v>
      </c>
      <c r="B39" s="11" t="s">
        <v>920</v>
      </c>
      <c r="C39" s="11" t="s">
        <v>921</v>
      </c>
    </row>
    <row r="40" customFormat="false" ht="15" hidden="false" customHeight="false" outlineLevel="0" collapsed="false">
      <c r="A40" s="12" t="s">
        <v>82</v>
      </c>
      <c r="B40" s="12" t="n">
        <v>68</v>
      </c>
      <c r="C40" s="13" t="s">
        <v>922</v>
      </c>
    </row>
    <row r="41" customFormat="false" ht="15" hidden="false" customHeight="false" outlineLevel="0" collapsed="false">
      <c r="A41" s="12" t="s">
        <v>29</v>
      </c>
      <c r="B41" s="12" t="n">
        <v>18</v>
      </c>
      <c r="C41" s="13" t="s">
        <v>922</v>
      </c>
    </row>
    <row r="42" customFormat="false" ht="35.05" hidden="false" customHeight="false" outlineLevel="0" collapsed="false">
      <c r="A42" s="12" t="s">
        <v>74</v>
      </c>
      <c r="B42" s="12" t="n">
        <v>86</v>
      </c>
      <c r="C42" s="13" t="s">
        <v>923</v>
      </c>
    </row>
    <row r="43" customFormat="false" ht="35.05" hidden="false" customHeight="false" outlineLevel="0" collapsed="false">
      <c r="A43" s="12" t="s">
        <v>30</v>
      </c>
      <c r="B43" s="12" t="n">
        <v>217</v>
      </c>
      <c r="C43" s="13" t="s">
        <v>923</v>
      </c>
    </row>
    <row r="44" customFormat="false" ht="35.05" hidden="false" customHeight="false" outlineLevel="0" collapsed="false">
      <c r="A44" s="12" t="s">
        <v>182</v>
      </c>
      <c r="B44" s="12" t="n">
        <v>20</v>
      </c>
      <c r="C44" s="13" t="s">
        <v>923</v>
      </c>
    </row>
    <row r="45" customFormat="false" ht="35.05" hidden="false" customHeight="false" outlineLevel="0" collapsed="false">
      <c r="A45" s="12" t="s">
        <v>31</v>
      </c>
      <c r="B45" s="12" t="n">
        <v>64</v>
      </c>
      <c r="C45" s="13" t="s">
        <v>923</v>
      </c>
    </row>
    <row r="46" customFormat="false" ht="15" hidden="false" customHeight="false" outlineLevel="0" collapsed="false">
      <c r="A46" s="12" t="s">
        <v>75</v>
      </c>
      <c r="B46" s="12" t="n">
        <v>50</v>
      </c>
      <c r="C46" s="13" t="s">
        <v>922</v>
      </c>
    </row>
    <row r="47" customFormat="false" ht="15" hidden="false" customHeight="false" outlineLevel="0" collapsed="false">
      <c r="A47" s="12" t="s">
        <v>76</v>
      </c>
      <c r="B47" s="12" t="n">
        <v>143</v>
      </c>
      <c r="C47" s="13" t="s">
        <v>922</v>
      </c>
    </row>
    <row r="48" customFormat="false" ht="35.05" hidden="false" customHeight="false" outlineLevel="0" collapsed="false">
      <c r="A48" s="12" t="s">
        <v>32</v>
      </c>
      <c r="B48" s="12" t="n">
        <v>123</v>
      </c>
      <c r="C48" s="13" t="s">
        <v>923</v>
      </c>
    </row>
    <row r="49" customFormat="false" ht="15" hidden="false" customHeight="false" outlineLevel="0" collapsed="false">
      <c r="A49" s="12" t="s">
        <v>77</v>
      </c>
      <c r="B49" s="12" t="n">
        <v>58</v>
      </c>
      <c r="C49" s="13" t="s">
        <v>922</v>
      </c>
    </row>
    <row r="50" customFormat="false" ht="15" hidden="false" customHeight="false" outlineLevel="0" collapsed="false">
      <c r="A50" s="12" t="s">
        <v>66</v>
      </c>
      <c r="B50" s="12" t="n">
        <v>86</v>
      </c>
      <c r="C50" s="13" t="s">
        <v>922</v>
      </c>
    </row>
    <row r="51" customFormat="false" ht="15" hidden="false" customHeight="false" outlineLevel="0" collapsed="false">
      <c r="A51" s="12" t="s">
        <v>34</v>
      </c>
      <c r="B51" s="12" t="n">
        <v>92</v>
      </c>
      <c r="C51" s="13" t="s">
        <v>922</v>
      </c>
    </row>
    <row r="52" customFormat="false" ht="15" hidden="false" customHeight="false" outlineLevel="0" collapsed="false">
      <c r="A52" s="12" t="s">
        <v>53</v>
      </c>
      <c r="B52" s="12" t="n">
        <v>183</v>
      </c>
      <c r="C52" s="13" t="s">
        <v>922</v>
      </c>
    </row>
    <row r="53" customFormat="false" ht="15" hidden="false" customHeight="false" outlineLevel="0" collapsed="false">
      <c r="A53" s="12" t="s">
        <v>35</v>
      </c>
      <c r="B53" s="12" t="n">
        <v>107</v>
      </c>
      <c r="C53" s="13" t="s">
        <v>922</v>
      </c>
    </row>
    <row r="54" customFormat="false" ht="57.45" hidden="false" customHeight="false" outlineLevel="0" collapsed="false">
      <c r="A54" s="12" t="s">
        <v>387</v>
      </c>
      <c r="B54" s="12" t="n">
        <v>0</v>
      </c>
      <c r="C54" s="13" t="s">
        <v>924</v>
      </c>
    </row>
    <row r="55" customFormat="false" ht="15" hidden="false" customHeight="false" outlineLevel="0" collapsed="false">
      <c r="A55" s="12" t="s">
        <v>78</v>
      </c>
      <c r="B55" s="12" t="n">
        <v>39</v>
      </c>
      <c r="C55" s="13" t="s">
        <v>922</v>
      </c>
    </row>
    <row r="56" customFormat="false" ht="35.05" hidden="false" customHeight="false" outlineLevel="0" collapsed="false">
      <c r="A56" s="12" t="s">
        <v>18</v>
      </c>
      <c r="B56" s="12" t="n">
        <v>229</v>
      </c>
      <c r="C56" s="13" t="s">
        <v>923</v>
      </c>
    </row>
    <row r="57" customFormat="false" ht="15" hidden="false" customHeight="false" outlineLevel="0" collapsed="false">
      <c r="A57" s="12" t="s">
        <v>39</v>
      </c>
      <c r="B57" s="12" t="n">
        <v>243</v>
      </c>
      <c r="C57" s="13" t="s">
        <v>922</v>
      </c>
    </row>
    <row r="58" customFormat="false" ht="15" hidden="false" customHeight="false" outlineLevel="0" collapsed="false">
      <c r="A58" s="12" t="s">
        <v>70</v>
      </c>
      <c r="B58" s="12" t="n">
        <v>292</v>
      </c>
      <c r="C58" s="13" t="s">
        <v>922</v>
      </c>
    </row>
    <row r="59" customFormat="false" ht="35.05" hidden="false" customHeight="false" outlineLevel="0" collapsed="false">
      <c r="A59" s="12" t="s">
        <v>40</v>
      </c>
      <c r="B59" s="12" t="n">
        <v>146</v>
      </c>
      <c r="C59" s="13" t="s">
        <v>923</v>
      </c>
    </row>
    <row r="60" customFormat="false" ht="57.45" hidden="false" customHeight="false" outlineLevel="0" collapsed="false">
      <c r="A60" s="12" t="s">
        <v>394</v>
      </c>
      <c r="B60" s="12" t="n">
        <v>0</v>
      </c>
      <c r="C60" s="13" t="s">
        <v>924</v>
      </c>
    </row>
    <row r="61" customFormat="false" ht="35.05" hidden="false" customHeight="false" outlineLevel="0" collapsed="false">
      <c r="A61" s="12" t="s">
        <v>15</v>
      </c>
      <c r="B61" s="12" t="n">
        <v>1042</v>
      </c>
      <c r="C61" s="13" t="s">
        <v>925</v>
      </c>
    </row>
    <row r="62" customFormat="false" ht="35.05" hidden="false" customHeight="false" outlineLevel="0" collapsed="false">
      <c r="A62" s="12" t="s">
        <v>33</v>
      </c>
      <c r="B62" s="12" t="n">
        <v>438</v>
      </c>
      <c r="C62" s="13" t="s">
        <v>925</v>
      </c>
    </row>
    <row r="63" customFormat="false" ht="46.25" hidden="false" customHeight="false" outlineLevel="0" collapsed="false">
      <c r="A63" s="12" t="s">
        <v>926</v>
      </c>
      <c r="B63" s="12" t="n">
        <v>0</v>
      </c>
      <c r="C63" s="13" t="s">
        <v>927</v>
      </c>
    </row>
    <row r="64" customFormat="false" ht="46.25" hidden="false" customHeight="false" outlineLevel="0" collapsed="false">
      <c r="A64" s="12" t="s">
        <v>928</v>
      </c>
      <c r="B64" s="12" t="n">
        <v>0</v>
      </c>
      <c r="C64" s="13" t="s">
        <v>927</v>
      </c>
    </row>
    <row r="65" customFormat="false" ht="46.25" hidden="false" customHeight="false" outlineLevel="0" collapsed="false">
      <c r="A65" s="12" t="s">
        <v>929</v>
      </c>
      <c r="B65" s="12" t="n">
        <v>0</v>
      </c>
      <c r="C65" s="13" t="s">
        <v>927</v>
      </c>
    </row>
    <row r="66" customFormat="false" ht="46.25" hidden="false" customHeight="false" outlineLevel="0" collapsed="false">
      <c r="A66" s="12" t="s">
        <v>930</v>
      </c>
      <c r="B66" s="12" t="n">
        <v>0</v>
      </c>
      <c r="C66" s="13" t="s">
        <v>927</v>
      </c>
    </row>
    <row r="67" customFormat="false" ht="46.25" hidden="false" customHeight="false" outlineLevel="0" collapsed="false">
      <c r="A67" s="12" t="s">
        <v>931</v>
      </c>
      <c r="B67" s="12" t="n">
        <v>0</v>
      </c>
      <c r="C67" s="13" t="s">
        <v>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4" min="2" style="0" width="12"/>
    <col collapsed="false" customWidth="true" hidden="false" outlineLevel="0" max="5" min="5" style="0" width="13"/>
    <col collapsed="false" customWidth="true" hidden="false" outlineLevel="0" max="6" min="6" style="0" width="10"/>
    <col collapsed="false" customWidth="true" hidden="false" outlineLevel="0" max="7" min="7" style="0" width="8"/>
    <col collapsed="false" customWidth="true" hidden="false" outlineLevel="0" max="8" min="8" style="0" width="14"/>
    <col collapsed="false" customWidth="true" hidden="false" outlineLevel="0" max="9" min="9" style="0" width="13"/>
    <col collapsed="false" customWidth="true" hidden="false" outlineLevel="0" max="10" min="10" style="0" width="16"/>
    <col collapsed="false" customWidth="true" hidden="false" outlineLevel="0" max="11" min="11" style="0" width="11"/>
    <col collapsed="false" customWidth="true" hidden="false" outlineLevel="0" max="12" min="12" style="0" width="17"/>
    <col collapsed="false" customWidth="true" hidden="false" outlineLevel="0" max="13" min="13" style="0" width="10"/>
  </cols>
  <sheetData>
    <row r="1" customFormat="false" ht="15" hidden="false" customHeight="false" outlineLevel="0" collapsed="false">
      <c r="A1" s="1" t="s">
        <v>0</v>
      </c>
      <c r="B1" s="1"/>
      <c r="C1" s="1"/>
      <c r="D1" s="1"/>
      <c r="E1" s="1"/>
      <c r="F1" s="1"/>
      <c r="G1" s="1" t="n">
        <f aca="false">SUM(G3:G76)</f>
        <v>4051</v>
      </c>
      <c r="H1" s="1" t="n">
        <f aca="false">SUM(H3:H76)</f>
        <v>18582</v>
      </c>
      <c r="I1" s="1" t="n">
        <f aca="false">SUM(I3:I76)</f>
        <v>7314</v>
      </c>
      <c r="J1" s="1" t="n">
        <f aca="false">SUM(J3:J76)</f>
        <v>11274</v>
      </c>
      <c r="K1" s="1"/>
      <c r="L1" s="1"/>
      <c r="M1" s="1"/>
    </row>
    <row r="2" customFormat="false" ht="15" hidden="false" customHeight="false" outlineLevel="0" collapsed="false">
      <c r="A2" s="2" t="s">
        <v>932</v>
      </c>
      <c r="B2" s="2" t="s">
        <v>357</v>
      </c>
      <c r="C2" s="2" t="s">
        <v>436</v>
      </c>
      <c r="D2" s="2" t="s">
        <v>933</v>
      </c>
      <c r="E2" s="2" t="s">
        <v>934</v>
      </c>
      <c r="F2" s="2" t="s">
        <v>935</v>
      </c>
      <c r="G2" s="2" t="s">
        <v>936</v>
      </c>
      <c r="H2" s="2" t="s">
        <v>937</v>
      </c>
      <c r="I2" s="2" t="s">
        <v>938</v>
      </c>
      <c r="J2" s="2" t="s">
        <v>939</v>
      </c>
      <c r="K2" s="2" t="s">
        <v>940</v>
      </c>
      <c r="L2" s="2" t="s">
        <v>941</v>
      </c>
      <c r="M2" s="2" t="s">
        <v>942</v>
      </c>
    </row>
    <row r="3" customFormat="false" ht="15" hidden="false" customHeight="false" outlineLevel="0" collapsed="false">
      <c r="A3" s="4" t="s">
        <v>943</v>
      </c>
      <c r="B3" s="4" t="s">
        <v>82</v>
      </c>
      <c r="C3" s="4" t="s">
        <v>944</v>
      </c>
      <c r="D3" s="4" t="s">
        <v>945</v>
      </c>
      <c r="E3" s="4" t="s">
        <v>946</v>
      </c>
      <c r="F3" s="4" t="n">
        <v>41</v>
      </c>
      <c r="G3" s="4" t="n">
        <v>5</v>
      </c>
      <c r="H3" s="4" t="n">
        <v>172</v>
      </c>
      <c r="I3" s="4" t="n">
        <v>172</v>
      </c>
      <c r="J3" s="4" t="n">
        <v>0</v>
      </c>
      <c r="K3" s="6" t="n">
        <f aca="false">IF(H3=0,0,I3/H3)</f>
        <v>1</v>
      </c>
      <c r="L3" s="4" t="s">
        <v>947</v>
      </c>
      <c r="M3" s="4" t="s">
        <v>948</v>
      </c>
    </row>
    <row r="4" customFormat="false" ht="15" hidden="false" customHeight="false" outlineLevel="0" collapsed="false">
      <c r="A4" s="4" t="s">
        <v>949</v>
      </c>
      <c r="B4" s="4" t="s">
        <v>387</v>
      </c>
      <c r="C4" s="4" t="s">
        <v>944</v>
      </c>
      <c r="D4" s="4" t="s">
        <v>945</v>
      </c>
      <c r="E4" s="4" t="s">
        <v>950</v>
      </c>
      <c r="F4" s="4" t="n">
        <v>40</v>
      </c>
      <c r="G4" s="4" t="n">
        <v>6</v>
      </c>
      <c r="H4" s="4" t="n">
        <v>182</v>
      </c>
      <c r="I4" s="4" t="n">
        <v>172</v>
      </c>
      <c r="J4" s="4" t="n">
        <v>10</v>
      </c>
      <c r="K4" s="6" t="n">
        <f aca="false">IF(H4=0,0,I4/H4)</f>
        <v>0.945054945054945</v>
      </c>
      <c r="L4" s="4" t="s">
        <v>947</v>
      </c>
      <c r="M4" s="4" t="s">
        <v>951</v>
      </c>
    </row>
    <row r="5" customFormat="false" ht="15" hidden="false" customHeight="false" outlineLevel="0" collapsed="false">
      <c r="A5" s="5" t="s">
        <v>952</v>
      </c>
      <c r="B5" s="5" t="s">
        <v>35</v>
      </c>
      <c r="C5" s="5" t="s">
        <v>953</v>
      </c>
      <c r="D5" s="5" t="s">
        <v>954</v>
      </c>
      <c r="E5" s="5" t="s">
        <v>955</v>
      </c>
      <c r="F5" s="5" t="n">
        <v>40</v>
      </c>
      <c r="G5" s="5" t="n">
        <v>5</v>
      </c>
      <c r="H5" s="5" t="n">
        <v>67</v>
      </c>
      <c r="I5" s="5" t="n">
        <v>0</v>
      </c>
      <c r="J5" s="5" t="n">
        <v>67</v>
      </c>
      <c r="K5" s="7" t="n">
        <f aca="false">IF(H5=0,0,I5/H5)</f>
        <v>0</v>
      </c>
      <c r="L5" s="5" t="s">
        <v>947</v>
      </c>
      <c r="M5" s="5" t="s">
        <v>956</v>
      </c>
    </row>
    <row r="6" customFormat="false" ht="15" hidden="false" customHeight="false" outlineLevel="0" collapsed="false">
      <c r="A6" s="4" t="s">
        <v>957</v>
      </c>
      <c r="B6" s="4" t="s">
        <v>70</v>
      </c>
      <c r="C6" s="4" t="s">
        <v>944</v>
      </c>
      <c r="D6" s="4" t="s">
        <v>954</v>
      </c>
      <c r="E6" s="4" t="s">
        <v>958</v>
      </c>
      <c r="F6" s="4" t="n">
        <v>40</v>
      </c>
      <c r="G6" s="4" t="n">
        <v>6</v>
      </c>
      <c r="H6" s="4" t="n">
        <v>144</v>
      </c>
      <c r="I6" s="4" t="n">
        <v>144</v>
      </c>
      <c r="J6" s="4" t="n">
        <v>0</v>
      </c>
      <c r="K6" s="6" t="n">
        <f aca="false">IF(H6=0,0,I6/H6)</f>
        <v>1</v>
      </c>
      <c r="L6" s="4" t="s">
        <v>947</v>
      </c>
      <c r="M6" s="4" t="s">
        <v>959</v>
      </c>
    </row>
    <row r="7" customFormat="false" ht="15" hidden="false" customHeight="false" outlineLevel="0" collapsed="false">
      <c r="A7" s="4" t="s">
        <v>960</v>
      </c>
      <c r="B7" s="4" t="s">
        <v>394</v>
      </c>
      <c r="C7" s="4" t="s">
        <v>944</v>
      </c>
      <c r="D7" s="4" t="s">
        <v>954</v>
      </c>
      <c r="E7" s="4" t="s">
        <v>961</v>
      </c>
      <c r="F7" s="4" t="n">
        <v>40</v>
      </c>
      <c r="G7" s="4" t="n">
        <v>6</v>
      </c>
      <c r="H7" s="4" t="n">
        <v>232</v>
      </c>
      <c r="I7" s="4" t="n">
        <v>176</v>
      </c>
      <c r="J7" s="4" t="n">
        <v>56</v>
      </c>
      <c r="K7" s="6" t="n">
        <f aca="false">IF(H7=0,0,I7/H7)</f>
        <v>0.758620689655172</v>
      </c>
      <c r="L7" s="4" t="s">
        <v>947</v>
      </c>
      <c r="M7" s="4" t="s">
        <v>962</v>
      </c>
    </row>
    <row r="8" customFormat="false" ht="15" hidden="false" customHeight="false" outlineLevel="0" collapsed="false">
      <c r="A8" s="3" t="s">
        <v>963</v>
      </c>
      <c r="B8" s="3" t="s">
        <v>15</v>
      </c>
      <c r="C8" s="3" t="s">
        <v>944</v>
      </c>
      <c r="D8" s="3" t="s">
        <v>954</v>
      </c>
      <c r="E8" s="3" t="s">
        <v>964</v>
      </c>
      <c r="F8" s="3" t="n">
        <v>40</v>
      </c>
      <c r="G8" s="3" t="n">
        <v>7</v>
      </c>
      <c r="H8" s="3" t="n">
        <v>1978</v>
      </c>
      <c r="I8" s="3" t="n">
        <v>1612</v>
      </c>
      <c r="J8" s="3" t="n">
        <v>366</v>
      </c>
      <c r="K8" s="8" t="n">
        <f aca="false">IF(H8=0,0,I8/H8)</f>
        <v>0.814964610717897</v>
      </c>
      <c r="L8" s="3" t="s">
        <v>947</v>
      </c>
      <c r="M8" s="3" t="s">
        <v>965</v>
      </c>
    </row>
    <row r="9" customFormat="false" ht="15" hidden="false" customHeight="false" outlineLevel="0" collapsed="false">
      <c r="A9" s="4" t="s">
        <v>966</v>
      </c>
      <c r="B9" s="4" t="s">
        <v>74</v>
      </c>
      <c r="C9" s="4" t="s">
        <v>944</v>
      </c>
      <c r="D9" s="4" t="s">
        <v>967</v>
      </c>
      <c r="E9" s="4" t="s">
        <v>968</v>
      </c>
      <c r="F9" s="4" t="n">
        <v>33</v>
      </c>
      <c r="G9" s="4" t="n">
        <v>29</v>
      </c>
      <c r="H9" s="4" t="n">
        <v>255</v>
      </c>
      <c r="I9" s="4" t="n">
        <v>231</v>
      </c>
      <c r="J9" s="4" t="n">
        <v>24</v>
      </c>
      <c r="K9" s="6" t="n">
        <f aca="false">IF(H9=0,0,I9/H9)</f>
        <v>0.905882352941177</v>
      </c>
      <c r="L9" s="4" t="s">
        <v>947</v>
      </c>
      <c r="M9" s="4" t="s">
        <v>969</v>
      </c>
    </row>
    <row r="10" customFormat="false" ht="15" hidden="false" customHeight="false" outlineLevel="0" collapsed="false">
      <c r="A10" s="4" t="s">
        <v>970</v>
      </c>
      <c r="B10" s="4" t="s">
        <v>82</v>
      </c>
      <c r="C10" s="4" t="s">
        <v>944</v>
      </c>
      <c r="D10" s="4" t="s">
        <v>967</v>
      </c>
      <c r="E10" s="4" t="s">
        <v>971</v>
      </c>
      <c r="F10" s="4" t="n">
        <v>33</v>
      </c>
      <c r="G10" s="4" t="n">
        <v>16</v>
      </c>
      <c r="H10" s="4" t="n">
        <v>168</v>
      </c>
      <c r="I10" s="4" t="n">
        <v>73</v>
      </c>
      <c r="J10" s="4" t="n">
        <v>95</v>
      </c>
      <c r="K10" s="6" t="n">
        <f aca="false">IF(H10=0,0,I10/H10)</f>
        <v>0.43452380952381</v>
      </c>
      <c r="L10" s="4" t="s">
        <v>947</v>
      </c>
      <c r="M10" s="4" t="s">
        <v>972</v>
      </c>
    </row>
    <row r="11" customFormat="false" ht="15" hidden="false" customHeight="false" outlineLevel="0" collapsed="false">
      <c r="A11" s="4" t="s">
        <v>973</v>
      </c>
      <c r="B11" s="4" t="s">
        <v>182</v>
      </c>
      <c r="C11" s="4" t="s">
        <v>944</v>
      </c>
      <c r="D11" s="4" t="s">
        <v>974</v>
      </c>
      <c r="E11" s="4" t="s">
        <v>971</v>
      </c>
      <c r="F11" s="4" t="n">
        <v>33</v>
      </c>
      <c r="G11" s="4" t="n">
        <v>28</v>
      </c>
      <c r="H11" s="4" t="n">
        <v>274</v>
      </c>
      <c r="I11" s="4" t="n">
        <v>127</v>
      </c>
      <c r="J11" s="4" t="n">
        <v>147</v>
      </c>
      <c r="K11" s="6" t="n">
        <f aca="false">IF(H11=0,0,I11/H11)</f>
        <v>0.463503649635037</v>
      </c>
      <c r="L11" s="4" t="s">
        <v>947</v>
      </c>
      <c r="M11" s="4" t="s">
        <v>975</v>
      </c>
    </row>
    <row r="12" customFormat="false" ht="15" hidden="false" customHeight="false" outlineLevel="0" collapsed="false">
      <c r="A12" s="4" t="s">
        <v>976</v>
      </c>
      <c r="B12" s="4" t="s">
        <v>32</v>
      </c>
      <c r="C12" s="4" t="s">
        <v>944</v>
      </c>
      <c r="D12" s="4" t="s">
        <v>974</v>
      </c>
      <c r="E12" s="4" t="s">
        <v>977</v>
      </c>
      <c r="F12" s="4" t="n">
        <v>33</v>
      </c>
      <c r="G12" s="4" t="n">
        <v>35</v>
      </c>
      <c r="H12" s="4" t="n">
        <v>102</v>
      </c>
      <c r="I12" s="4" t="n">
        <v>99</v>
      </c>
      <c r="J12" s="4" t="n">
        <v>3</v>
      </c>
      <c r="K12" s="6" t="n">
        <f aca="false">IF(H12=0,0,I12/H12)</f>
        <v>0.970588235294118</v>
      </c>
      <c r="L12" s="4" t="s">
        <v>947</v>
      </c>
      <c r="M12" s="4" t="s">
        <v>978</v>
      </c>
    </row>
    <row r="13" customFormat="false" ht="15" hidden="false" customHeight="false" outlineLevel="0" collapsed="false">
      <c r="A13" s="4" t="s">
        <v>979</v>
      </c>
      <c r="B13" s="4" t="s">
        <v>77</v>
      </c>
      <c r="C13" s="4" t="s">
        <v>944</v>
      </c>
      <c r="D13" s="4" t="s">
        <v>974</v>
      </c>
      <c r="E13" s="4" t="s">
        <v>971</v>
      </c>
      <c r="F13" s="4" t="n">
        <v>33</v>
      </c>
      <c r="G13" s="4" t="n">
        <v>40</v>
      </c>
      <c r="H13" s="4" t="n">
        <v>264</v>
      </c>
      <c r="I13" s="4" t="n">
        <v>141</v>
      </c>
      <c r="J13" s="4" t="n">
        <v>123</v>
      </c>
      <c r="K13" s="6" t="n">
        <f aca="false">IF(H13=0,0,I13/H13)</f>
        <v>0.534090909090909</v>
      </c>
      <c r="L13" s="4" t="s">
        <v>947</v>
      </c>
      <c r="M13" s="4" t="s">
        <v>980</v>
      </c>
    </row>
    <row r="14" customFormat="false" ht="15" hidden="false" customHeight="false" outlineLevel="0" collapsed="false">
      <c r="A14" s="4" t="s">
        <v>981</v>
      </c>
      <c r="B14" s="4" t="s">
        <v>387</v>
      </c>
      <c r="C14" s="4" t="s">
        <v>944</v>
      </c>
      <c r="D14" s="4" t="s">
        <v>974</v>
      </c>
      <c r="E14" s="4" t="s">
        <v>971</v>
      </c>
      <c r="F14" s="4" t="n">
        <v>33</v>
      </c>
      <c r="G14" s="4" t="n">
        <v>22</v>
      </c>
      <c r="H14" s="4" t="n">
        <v>236</v>
      </c>
      <c r="I14" s="4" t="n">
        <v>242</v>
      </c>
      <c r="J14" s="4" t="n">
        <v>0</v>
      </c>
      <c r="K14" s="6" t="n">
        <f aca="false">IF(H14=0,0,I14/H14)</f>
        <v>1.02542372881356</v>
      </c>
      <c r="L14" s="4" t="s">
        <v>947</v>
      </c>
      <c r="M14" s="4" t="s">
        <v>982</v>
      </c>
    </row>
    <row r="15" customFormat="false" ht="15" hidden="false" customHeight="false" outlineLevel="0" collapsed="false">
      <c r="A15" s="4" t="s">
        <v>983</v>
      </c>
      <c r="B15" s="4" t="s">
        <v>39</v>
      </c>
      <c r="C15" s="4" t="s">
        <v>944</v>
      </c>
      <c r="D15" s="4" t="s">
        <v>974</v>
      </c>
      <c r="E15" s="4" t="s">
        <v>984</v>
      </c>
      <c r="F15" s="4" t="n">
        <v>33</v>
      </c>
      <c r="G15" s="4" t="n">
        <v>23</v>
      </c>
      <c r="H15" s="4" t="n">
        <v>374</v>
      </c>
      <c r="I15" s="4" t="n">
        <v>372</v>
      </c>
      <c r="J15" s="4" t="n">
        <v>2</v>
      </c>
      <c r="K15" s="6" t="n">
        <f aca="false">IF(H15=0,0,I15/H15)</f>
        <v>0.994652406417112</v>
      </c>
      <c r="L15" s="4" t="s">
        <v>947</v>
      </c>
      <c r="M15" s="4" t="s">
        <v>985</v>
      </c>
    </row>
    <row r="16" customFormat="false" ht="15" hidden="false" customHeight="false" outlineLevel="0" collapsed="false">
      <c r="A16" s="4" t="s">
        <v>986</v>
      </c>
      <c r="B16" s="4" t="s">
        <v>40</v>
      </c>
      <c r="C16" s="4" t="s">
        <v>944</v>
      </c>
      <c r="D16" s="4" t="s">
        <v>974</v>
      </c>
      <c r="E16" s="4" t="s">
        <v>987</v>
      </c>
      <c r="F16" s="4" t="n">
        <v>33</v>
      </c>
      <c r="G16" s="4" t="n">
        <v>10</v>
      </c>
      <c r="H16" s="4" t="n">
        <v>250</v>
      </c>
      <c r="I16" s="4" t="n">
        <v>250</v>
      </c>
      <c r="J16" s="4" t="n">
        <v>0</v>
      </c>
      <c r="K16" s="6" t="n">
        <f aca="false">IF(H16=0,0,I16/H16)</f>
        <v>1</v>
      </c>
      <c r="L16" s="4" t="s">
        <v>947</v>
      </c>
      <c r="M16" s="4" t="s">
        <v>988</v>
      </c>
    </row>
    <row r="17" customFormat="false" ht="15" hidden="false" customHeight="false" outlineLevel="0" collapsed="false">
      <c r="A17" s="4" t="s">
        <v>989</v>
      </c>
      <c r="B17" s="4" t="s">
        <v>66</v>
      </c>
      <c r="C17" s="4" t="s">
        <v>944</v>
      </c>
      <c r="D17" s="4" t="s">
        <v>974</v>
      </c>
      <c r="E17" s="4" t="s">
        <v>971</v>
      </c>
      <c r="F17" s="4" t="n">
        <v>33</v>
      </c>
      <c r="G17" s="4" t="n">
        <v>33</v>
      </c>
      <c r="H17" s="4" t="n">
        <v>378</v>
      </c>
      <c r="I17" s="4" t="n">
        <v>334</v>
      </c>
      <c r="J17" s="4" t="n">
        <v>44</v>
      </c>
      <c r="K17" s="6" t="n">
        <f aca="false">IF(H17=0,0,I17/H17)</f>
        <v>0.883597883597884</v>
      </c>
      <c r="L17" s="4" t="s">
        <v>947</v>
      </c>
      <c r="M17" s="4" t="s">
        <v>990</v>
      </c>
    </row>
    <row r="18" customFormat="false" ht="15" hidden="false" customHeight="false" outlineLevel="0" collapsed="false">
      <c r="A18" s="3" t="s">
        <v>991</v>
      </c>
      <c r="B18" s="3" t="s">
        <v>33</v>
      </c>
      <c r="C18" s="3" t="s">
        <v>944</v>
      </c>
      <c r="D18" s="3" t="s">
        <v>974</v>
      </c>
      <c r="E18" s="3" t="s">
        <v>971</v>
      </c>
      <c r="F18" s="3" t="n">
        <v>32</v>
      </c>
      <c r="G18" s="3" t="n">
        <v>21</v>
      </c>
      <c r="H18" s="3" t="n">
        <v>381</v>
      </c>
      <c r="I18" s="3" t="n">
        <v>119</v>
      </c>
      <c r="J18" s="3" t="n">
        <v>262</v>
      </c>
      <c r="K18" s="8" t="n">
        <f aca="false">IF(H18=0,0,I18/H18)</f>
        <v>0.312335958005249</v>
      </c>
      <c r="L18" s="3" t="s">
        <v>947</v>
      </c>
      <c r="M18" s="3" t="s">
        <v>992</v>
      </c>
    </row>
    <row r="19" customFormat="false" ht="15" hidden="false" customHeight="false" outlineLevel="0" collapsed="false">
      <c r="A19" s="4" t="s">
        <v>993</v>
      </c>
      <c r="B19" s="4" t="s">
        <v>29</v>
      </c>
      <c r="C19" s="4" t="s">
        <v>944</v>
      </c>
      <c r="D19" s="4" t="s">
        <v>994</v>
      </c>
      <c r="E19" s="4" t="s">
        <v>968</v>
      </c>
      <c r="F19" s="4" t="n">
        <v>26</v>
      </c>
      <c r="G19" s="4" t="n">
        <v>124</v>
      </c>
      <c r="H19" s="4" t="n">
        <v>125</v>
      </c>
      <c r="I19" s="4" t="n">
        <v>94</v>
      </c>
      <c r="J19" s="4" t="n">
        <v>31</v>
      </c>
      <c r="K19" s="6" t="n">
        <f aca="false">IF(H19=0,0,I19/H19)</f>
        <v>0.752</v>
      </c>
      <c r="L19" s="4" t="s">
        <v>947</v>
      </c>
      <c r="M19" s="4" t="s">
        <v>995</v>
      </c>
    </row>
    <row r="20" customFormat="false" ht="15" hidden="false" customHeight="false" outlineLevel="0" collapsed="false">
      <c r="A20" s="4" t="s">
        <v>996</v>
      </c>
      <c r="B20" s="4" t="s">
        <v>82</v>
      </c>
      <c r="C20" s="4" t="s">
        <v>944</v>
      </c>
      <c r="D20" s="4" t="s">
        <v>994</v>
      </c>
      <c r="E20" s="4" t="s">
        <v>997</v>
      </c>
      <c r="F20" s="4" t="n">
        <v>26</v>
      </c>
      <c r="G20" s="4" t="n">
        <v>127</v>
      </c>
      <c r="H20" s="4" t="n">
        <v>195</v>
      </c>
      <c r="I20" s="4" t="n">
        <v>115</v>
      </c>
      <c r="J20" s="4" t="n">
        <v>80</v>
      </c>
      <c r="K20" s="6" t="n">
        <f aca="false">IF(H20=0,0,I20/H20)</f>
        <v>0.58974358974359</v>
      </c>
      <c r="L20" s="4" t="s">
        <v>947</v>
      </c>
      <c r="M20" s="4" t="s">
        <v>998</v>
      </c>
    </row>
    <row r="21" customFormat="false" ht="15" hidden="false" customHeight="false" outlineLevel="0" collapsed="false">
      <c r="A21" s="4" t="s">
        <v>999</v>
      </c>
      <c r="B21" s="4" t="s">
        <v>30</v>
      </c>
      <c r="C21" s="4" t="s">
        <v>944</v>
      </c>
      <c r="D21" s="4" t="s">
        <v>1000</v>
      </c>
      <c r="E21" s="4" t="s">
        <v>997</v>
      </c>
      <c r="F21" s="4" t="n">
        <v>26</v>
      </c>
      <c r="G21" s="4" t="n">
        <v>128</v>
      </c>
      <c r="H21" s="4" t="n">
        <v>456</v>
      </c>
      <c r="I21" s="4" t="n">
        <v>191</v>
      </c>
      <c r="J21" s="4" t="n">
        <v>265</v>
      </c>
      <c r="K21" s="6" t="n">
        <f aca="false">IF(H21=0,0,I21/H21)</f>
        <v>0.418859649122807</v>
      </c>
      <c r="L21" s="4" t="s">
        <v>947</v>
      </c>
      <c r="M21" s="4" t="s">
        <v>1001</v>
      </c>
    </row>
    <row r="22" customFormat="false" ht="15" hidden="false" customHeight="false" outlineLevel="0" collapsed="false">
      <c r="A22" s="4" t="s">
        <v>1002</v>
      </c>
      <c r="B22" s="4" t="s">
        <v>182</v>
      </c>
      <c r="C22" s="4" t="s">
        <v>944</v>
      </c>
      <c r="D22" s="4" t="s">
        <v>1000</v>
      </c>
      <c r="E22" s="4" t="s">
        <v>968</v>
      </c>
      <c r="F22" s="4" t="n">
        <v>26</v>
      </c>
      <c r="G22" s="4" t="n">
        <v>74</v>
      </c>
      <c r="H22" s="4" t="n">
        <v>74</v>
      </c>
      <c r="I22" s="4" t="n">
        <v>6</v>
      </c>
      <c r="J22" s="4" t="n">
        <v>68</v>
      </c>
      <c r="K22" s="6" t="n">
        <f aca="false">IF(H22=0,0,I22/H22)</f>
        <v>0.0810810810810811</v>
      </c>
      <c r="L22" s="4" t="s">
        <v>947</v>
      </c>
      <c r="M22" s="4" t="s">
        <v>1003</v>
      </c>
    </row>
    <row r="23" customFormat="false" ht="15" hidden="false" customHeight="false" outlineLevel="0" collapsed="false">
      <c r="A23" s="4" t="s">
        <v>1004</v>
      </c>
      <c r="B23" s="4" t="s">
        <v>74</v>
      </c>
      <c r="C23" s="4" t="s">
        <v>944</v>
      </c>
      <c r="D23" s="4" t="s">
        <v>1000</v>
      </c>
      <c r="E23" s="4" t="s">
        <v>971</v>
      </c>
      <c r="F23" s="4" t="n">
        <v>26</v>
      </c>
      <c r="G23" s="4" t="n">
        <v>95</v>
      </c>
      <c r="H23" s="4" t="n">
        <v>95</v>
      </c>
      <c r="I23" s="4" t="n">
        <v>71</v>
      </c>
      <c r="J23" s="4" t="n">
        <v>24</v>
      </c>
      <c r="K23" s="6" t="n">
        <f aca="false">IF(H23=0,0,I23/H23)</f>
        <v>0.747368421052632</v>
      </c>
      <c r="L23" s="4" t="s">
        <v>947</v>
      </c>
      <c r="M23" s="4" t="s">
        <v>1005</v>
      </c>
    </row>
    <row r="24" customFormat="false" ht="15" hidden="false" customHeight="false" outlineLevel="0" collapsed="false">
      <c r="A24" s="4" t="s">
        <v>1006</v>
      </c>
      <c r="B24" s="4" t="s">
        <v>76</v>
      </c>
      <c r="C24" s="4" t="s">
        <v>944</v>
      </c>
      <c r="D24" s="4" t="s">
        <v>1000</v>
      </c>
      <c r="E24" s="4" t="s">
        <v>997</v>
      </c>
      <c r="F24" s="4" t="n">
        <v>26</v>
      </c>
      <c r="G24" s="4" t="n">
        <v>124</v>
      </c>
      <c r="H24" s="4" t="n">
        <v>165</v>
      </c>
      <c r="I24" s="4" t="n">
        <v>143</v>
      </c>
      <c r="J24" s="4" t="n">
        <v>22</v>
      </c>
      <c r="K24" s="6" t="n">
        <f aca="false">IF(H24=0,0,I24/H24)</f>
        <v>0.866666666666667</v>
      </c>
      <c r="L24" s="4" t="s">
        <v>947</v>
      </c>
      <c r="M24" s="4" t="s">
        <v>1007</v>
      </c>
    </row>
    <row r="25" customFormat="false" ht="15" hidden="false" customHeight="false" outlineLevel="0" collapsed="false">
      <c r="A25" s="4" t="s">
        <v>1008</v>
      </c>
      <c r="B25" s="4" t="s">
        <v>31</v>
      </c>
      <c r="C25" s="4" t="s">
        <v>944</v>
      </c>
      <c r="D25" s="4" t="s">
        <v>1000</v>
      </c>
      <c r="E25" s="4" t="s">
        <v>971</v>
      </c>
      <c r="F25" s="4" t="n">
        <v>26</v>
      </c>
      <c r="G25" s="4" t="n">
        <v>125</v>
      </c>
      <c r="H25" s="4" t="n">
        <v>130</v>
      </c>
      <c r="I25" s="4" t="n">
        <v>94</v>
      </c>
      <c r="J25" s="4" t="n">
        <v>36</v>
      </c>
      <c r="K25" s="6" t="n">
        <f aca="false">IF(H25=0,0,I25/H25)</f>
        <v>0.723076923076923</v>
      </c>
      <c r="L25" s="4" t="s">
        <v>947</v>
      </c>
      <c r="M25" s="4" t="s">
        <v>1009</v>
      </c>
    </row>
    <row r="26" customFormat="false" ht="15" hidden="false" customHeight="false" outlineLevel="0" collapsed="false">
      <c r="A26" s="4" t="s">
        <v>1010</v>
      </c>
      <c r="B26" s="4" t="s">
        <v>66</v>
      </c>
      <c r="C26" s="4" t="s">
        <v>944</v>
      </c>
      <c r="D26" s="4" t="s">
        <v>1000</v>
      </c>
      <c r="E26" s="4" t="s">
        <v>971</v>
      </c>
      <c r="F26" s="4" t="n">
        <v>26</v>
      </c>
      <c r="G26" s="4" t="n">
        <v>135</v>
      </c>
      <c r="H26" s="4" t="n">
        <v>158</v>
      </c>
      <c r="I26" s="4" t="n">
        <v>131</v>
      </c>
      <c r="J26" s="4" t="n">
        <v>27</v>
      </c>
      <c r="K26" s="6" t="n">
        <f aca="false">IF(H26=0,0,I26/H26)</f>
        <v>0.829113924050633</v>
      </c>
      <c r="L26" s="4" t="s">
        <v>947</v>
      </c>
      <c r="M26" s="4" t="s">
        <v>1011</v>
      </c>
    </row>
    <row r="27" customFormat="false" ht="15" hidden="false" customHeight="false" outlineLevel="0" collapsed="false">
      <c r="A27" s="4" t="s">
        <v>1012</v>
      </c>
      <c r="B27" s="4" t="s">
        <v>53</v>
      </c>
      <c r="C27" s="4" t="s">
        <v>944</v>
      </c>
      <c r="D27" s="4" t="s">
        <v>1000</v>
      </c>
      <c r="E27" s="4" t="s">
        <v>1013</v>
      </c>
      <c r="F27" s="4" t="n">
        <v>26</v>
      </c>
      <c r="G27" s="4" t="n">
        <v>124</v>
      </c>
      <c r="H27" s="4" t="n">
        <v>257</v>
      </c>
      <c r="I27" s="4" t="n">
        <v>165</v>
      </c>
      <c r="J27" s="4" t="n">
        <v>92</v>
      </c>
      <c r="K27" s="6" t="n">
        <f aca="false">IF(H27=0,0,I27/H27)</f>
        <v>0.642023346303502</v>
      </c>
      <c r="L27" s="4" t="s">
        <v>947</v>
      </c>
      <c r="M27" s="4" t="s">
        <v>1014</v>
      </c>
    </row>
    <row r="28" customFormat="false" ht="15" hidden="false" customHeight="false" outlineLevel="0" collapsed="false">
      <c r="A28" s="3" t="s">
        <v>1015</v>
      </c>
      <c r="B28" s="3" t="s">
        <v>15</v>
      </c>
      <c r="C28" s="3" t="s">
        <v>944</v>
      </c>
      <c r="D28" s="3" t="s">
        <v>1000</v>
      </c>
      <c r="E28" s="3" t="s">
        <v>997</v>
      </c>
      <c r="F28" s="3" t="n">
        <v>26</v>
      </c>
      <c r="G28" s="3" t="n">
        <v>25</v>
      </c>
      <c r="H28" s="3" t="n">
        <v>145</v>
      </c>
      <c r="I28" s="3" t="n">
        <v>131</v>
      </c>
      <c r="J28" s="3" t="n">
        <v>14</v>
      </c>
      <c r="K28" s="8" t="n">
        <f aca="false">IF(H28=0,0,I28/H28)</f>
        <v>0.903448275862069</v>
      </c>
      <c r="L28" s="3" t="s">
        <v>947</v>
      </c>
      <c r="M28" s="3" t="s">
        <v>1016</v>
      </c>
    </row>
    <row r="29" customFormat="false" ht="15" hidden="false" customHeight="false" outlineLevel="0" collapsed="false">
      <c r="A29" s="4" t="s">
        <v>1017</v>
      </c>
      <c r="B29" s="4" t="s">
        <v>77</v>
      </c>
      <c r="C29" s="4" t="s">
        <v>1018</v>
      </c>
      <c r="D29" s="4" t="s">
        <v>1000</v>
      </c>
      <c r="E29" s="4" t="s">
        <v>1019</v>
      </c>
      <c r="F29" s="4" t="n">
        <v>26</v>
      </c>
      <c r="G29" s="4" t="n">
        <v>131</v>
      </c>
      <c r="H29" s="4" t="n">
        <v>163</v>
      </c>
      <c r="I29" s="4" t="n">
        <v>0</v>
      </c>
      <c r="J29" s="4" t="n">
        <v>163</v>
      </c>
      <c r="K29" s="6" t="n">
        <f aca="false">IF(H29=0,0,I29/H29)</f>
        <v>0</v>
      </c>
      <c r="L29" s="4" t="s">
        <v>947</v>
      </c>
      <c r="M29" s="4" t="s">
        <v>1020</v>
      </c>
    </row>
    <row r="30" customFormat="false" ht="15" hidden="false" customHeight="false" outlineLevel="0" collapsed="false">
      <c r="A30" s="4" t="s">
        <v>1021</v>
      </c>
      <c r="B30" s="4" t="s">
        <v>34</v>
      </c>
      <c r="C30" s="4" t="s">
        <v>944</v>
      </c>
      <c r="D30" s="4" t="s">
        <v>1000</v>
      </c>
      <c r="E30" s="4" t="s">
        <v>1013</v>
      </c>
      <c r="F30" s="4" t="n">
        <v>26</v>
      </c>
      <c r="G30" s="4" t="n">
        <v>131</v>
      </c>
      <c r="H30" s="4" t="n">
        <v>487</v>
      </c>
      <c r="I30" s="4" t="n">
        <v>450</v>
      </c>
      <c r="J30" s="4" t="n">
        <v>37</v>
      </c>
      <c r="K30" s="6" t="n">
        <f aca="false">IF(H30=0,0,I30/H30)</f>
        <v>0.924024640657084</v>
      </c>
      <c r="L30" s="4" t="s">
        <v>947</v>
      </c>
      <c r="M30" s="4" t="s">
        <v>1022</v>
      </c>
    </row>
    <row r="31" customFormat="false" ht="15" hidden="false" customHeight="false" outlineLevel="0" collapsed="false">
      <c r="A31" s="4" t="s">
        <v>1023</v>
      </c>
      <c r="B31" s="4" t="s">
        <v>35</v>
      </c>
      <c r="C31" s="4" t="s">
        <v>944</v>
      </c>
      <c r="D31" s="4" t="s">
        <v>1000</v>
      </c>
      <c r="E31" s="4" t="s">
        <v>984</v>
      </c>
      <c r="F31" s="4" t="n">
        <v>26</v>
      </c>
      <c r="G31" s="4" t="n">
        <v>128</v>
      </c>
      <c r="H31" s="4" t="n">
        <v>251</v>
      </c>
      <c r="I31" s="4" t="n">
        <v>190</v>
      </c>
      <c r="J31" s="4" t="n">
        <v>61</v>
      </c>
      <c r="K31" s="6" t="n">
        <f aca="false">IF(H31=0,0,I31/H31)</f>
        <v>0.756972111553785</v>
      </c>
      <c r="L31" s="4" t="s">
        <v>947</v>
      </c>
      <c r="M31" s="4" t="s">
        <v>1024</v>
      </c>
    </row>
    <row r="32" customFormat="false" ht="15" hidden="false" customHeight="false" outlineLevel="0" collapsed="false">
      <c r="A32" s="4" t="s">
        <v>1025</v>
      </c>
      <c r="B32" s="4" t="s">
        <v>18</v>
      </c>
      <c r="C32" s="4" t="s">
        <v>944</v>
      </c>
      <c r="D32" s="4" t="s">
        <v>1000</v>
      </c>
      <c r="E32" s="4" t="s">
        <v>984</v>
      </c>
      <c r="F32" s="4" t="n">
        <v>25</v>
      </c>
      <c r="G32" s="4" t="n">
        <v>123</v>
      </c>
      <c r="H32" s="4" t="n">
        <v>180</v>
      </c>
      <c r="I32" s="4" t="n">
        <v>140</v>
      </c>
      <c r="J32" s="4" t="n">
        <v>40</v>
      </c>
      <c r="K32" s="6" t="n">
        <f aca="false">IF(H32=0,0,I32/H32)</f>
        <v>0.777777777777778</v>
      </c>
      <c r="L32" s="4" t="s">
        <v>947</v>
      </c>
      <c r="M32" s="4" t="s">
        <v>1026</v>
      </c>
    </row>
    <row r="33" customFormat="false" ht="15" hidden="false" customHeight="false" outlineLevel="0" collapsed="false">
      <c r="A33" s="4" t="s">
        <v>1027</v>
      </c>
      <c r="B33" s="4" t="s">
        <v>387</v>
      </c>
      <c r="C33" s="4" t="s">
        <v>944</v>
      </c>
      <c r="D33" s="4" t="s">
        <v>1000</v>
      </c>
      <c r="E33" s="4" t="s">
        <v>968</v>
      </c>
      <c r="F33" s="4" t="n">
        <v>25</v>
      </c>
      <c r="G33" s="4" t="n">
        <v>129</v>
      </c>
      <c r="H33" s="4" t="n">
        <v>203</v>
      </c>
      <c r="I33" s="4" t="n">
        <v>85</v>
      </c>
      <c r="J33" s="4" t="n">
        <v>118</v>
      </c>
      <c r="K33" s="6" t="n">
        <f aca="false">IF(H33=0,0,I33/H33)</f>
        <v>0.41871921182266</v>
      </c>
      <c r="L33" s="4" t="s">
        <v>947</v>
      </c>
      <c r="M33" s="4" t="s">
        <v>1028</v>
      </c>
    </row>
    <row r="34" customFormat="false" ht="15" hidden="false" customHeight="false" outlineLevel="0" collapsed="false">
      <c r="A34" s="4" t="s">
        <v>1029</v>
      </c>
      <c r="B34" s="4" t="s">
        <v>39</v>
      </c>
      <c r="C34" s="4" t="s">
        <v>944</v>
      </c>
      <c r="D34" s="4" t="s">
        <v>1000</v>
      </c>
      <c r="E34" s="4" t="s">
        <v>971</v>
      </c>
      <c r="F34" s="4" t="n">
        <v>25</v>
      </c>
      <c r="G34" s="4" t="n">
        <v>124</v>
      </c>
      <c r="H34" s="4" t="n">
        <v>202</v>
      </c>
      <c r="I34" s="4" t="n">
        <v>153</v>
      </c>
      <c r="J34" s="4" t="n">
        <v>49</v>
      </c>
      <c r="K34" s="6" t="n">
        <f aca="false">IF(H34=0,0,I34/H34)</f>
        <v>0.757425742574257</v>
      </c>
      <c r="L34" s="4" t="s">
        <v>947</v>
      </c>
      <c r="M34" s="4" t="s">
        <v>1030</v>
      </c>
    </row>
    <row r="35" customFormat="false" ht="15" hidden="false" customHeight="false" outlineLevel="0" collapsed="false">
      <c r="A35" s="4" t="s">
        <v>1031</v>
      </c>
      <c r="B35" s="4" t="s">
        <v>78</v>
      </c>
      <c r="C35" s="4" t="s">
        <v>944</v>
      </c>
      <c r="D35" s="4" t="s">
        <v>1000</v>
      </c>
      <c r="E35" s="4" t="s">
        <v>1032</v>
      </c>
      <c r="F35" s="4" t="n">
        <v>25</v>
      </c>
      <c r="G35" s="4" t="n">
        <v>124</v>
      </c>
      <c r="H35" s="4" t="n">
        <v>126</v>
      </c>
      <c r="I35" s="4" t="n">
        <v>109</v>
      </c>
      <c r="J35" s="4" t="n">
        <v>17</v>
      </c>
      <c r="K35" s="6" t="n">
        <f aca="false">IF(H35=0,0,I35/H35)</f>
        <v>0.865079365079365</v>
      </c>
      <c r="L35" s="4" t="s">
        <v>947</v>
      </c>
      <c r="M35" s="4" t="s">
        <v>1033</v>
      </c>
    </row>
    <row r="36" customFormat="false" ht="15" hidden="false" customHeight="false" outlineLevel="0" collapsed="false">
      <c r="A36" s="4" t="s">
        <v>1034</v>
      </c>
      <c r="B36" s="4" t="s">
        <v>394</v>
      </c>
      <c r="C36" s="4" t="s">
        <v>944</v>
      </c>
      <c r="D36" s="4" t="s">
        <v>1000</v>
      </c>
      <c r="E36" s="4" t="s">
        <v>997</v>
      </c>
      <c r="F36" s="4" t="n">
        <v>25</v>
      </c>
      <c r="G36" s="4" t="n">
        <v>129</v>
      </c>
      <c r="H36" s="4" t="n">
        <v>196</v>
      </c>
      <c r="I36" s="4" t="n">
        <v>168</v>
      </c>
      <c r="J36" s="4" t="n">
        <v>28</v>
      </c>
      <c r="K36" s="6" t="n">
        <f aca="false">IF(H36=0,0,I36/H36)</f>
        <v>0.857142857142857</v>
      </c>
      <c r="L36" s="4" t="s">
        <v>947</v>
      </c>
      <c r="M36" s="4" t="s">
        <v>1035</v>
      </c>
    </row>
    <row r="37" customFormat="false" ht="15" hidden="false" customHeight="false" outlineLevel="0" collapsed="false">
      <c r="A37" s="3" t="s">
        <v>1036</v>
      </c>
      <c r="B37" s="3" t="s">
        <v>33</v>
      </c>
      <c r="C37" s="3" t="s">
        <v>944</v>
      </c>
      <c r="D37" s="3" t="s">
        <v>1000</v>
      </c>
      <c r="E37" s="3" t="s">
        <v>997</v>
      </c>
      <c r="F37" s="3" t="n">
        <v>25</v>
      </c>
      <c r="G37" s="3" t="n">
        <v>137</v>
      </c>
      <c r="H37" s="3" t="n">
        <v>574</v>
      </c>
      <c r="I37" s="3" t="n">
        <v>326</v>
      </c>
      <c r="J37" s="3" t="n">
        <v>248</v>
      </c>
      <c r="K37" s="8" t="n">
        <f aca="false">IF(H37=0,0,I37/H37)</f>
        <v>0.56794425087108</v>
      </c>
      <c r="L37" s="3" t="s">
        <v>947</v>
      </c>
      <c r="M37" s="3" t="s">
        <v>1037</v>
      </c>
    </row>
    <row r="38" customFormat="false" ht="15" hidden="false" customHeight="false" outlineLevel="0" collapsed="false">
      <c r="A38" s="4" t="s">
        <v>1038</v>
      </c>
      <c r="B38" s="4" t="s">
        <v>70</v>
      </c>
      <c r="C38" s="4" t="s">
        <v>944</v>
      </c>
      <c r="D38" s="4" t="s">
        <v>1000</v>
      </c>
      <c r="E38" s="4" t="s">
        <v>984</v>
      </c>
      <c r="F38" s="4" t="n">
        <v>25</v>
      </c>
      <c r="G38" s="4" t="n">
        <v>127</v>
      </c>
      <c r="H38" s="4" t="n">
        <v>189</v>
      </c>
      <c r="I38" s="4" t="n">
        <v>162</v>
      </c>
      <c r="J38" s="4" t="n">
        <v>27</v>
      </c>
      <c r="K38" s="6" t="n">
        <f aca="false">IF(H38=0,0,I38/H38)</f>
        <v>0.857142857142857</v>
      </c>
      <c r="L38" s="4" t="s">
        <v>947</v>
      </c>
      <c r="M38" s="4" t="s">
        <v>1039</v>
      </c>
    </row>
    <row r="39" customFormat="false" ht="15" hidden="false" customHeight="false" outlineLevel="0" collapsed="false">
      <c r="A39" s="4" t="s">
        <v>1040</v>
      </c>
      <c r="B39" s="4" t="s">
        <v>40</v>
      </c>
      <c r="C39" s="4" t="s">
        <v>944</v>
      </c>
      <c r="D39" s="4" t="s">
        <v>1000</v>
      </c>
      <c r="E39" s="4" t="s">
        <v>1041</v>
      </c>
      <c r="F39" s="4" t="n">
        <v>25</v>
      </c>
      <c r="G39" s="4" t="n">
        <v>124</v>
      </c>
      <c r="H39" s="4" t="n">
        <v>151</v>
      </c>
      <c r="I39" s="4" t="n">
        <v>112</v>
      </c>
      <c r="J39" s="4" t="n">
        <v>39</v>
      </c>
      <c r="K39" s="6" t="n">
        <f aca="false">IF(H39=0,0,I39/H39)</f>
        <v>0.741721854304636</v>
      </c>
      <c r="L39" s="4" t="s">
        <v>947</v>
      </c>
      <c r="M39" s="4" t="s">
        <v>1042</v>
      </c>
    </row>
    <row r="40" customFormat="false" ht="15" hidden="false" customHeight="false" outlineLevel="0" collapsed="false">
      <c r="A40" s="5" t="s">
        <v>1043</v>
      </c>
      <c r="B40" s="5" t="s">
        <v>15</v>
      </c>
      <c r="C40" s="5" t="s">
        <v>953</v>
      </c>
      <c r="D40" s="5" t="s">
        <v>1044</v>
      </c>
      <c r="E40" s="5" t="s">
        <v>1013</v>
      </c>
      <c r="F40" s="5" t="n">
        <v>25</v>
      </c>
      <c r="G40" s="5" t="n">
        <v>28</v>
      </c>
      <c r="H40" s="5" t="n">
        <v>1057</v>
      </c>
      <c r="I40" s="5" t="n">
        <v>0</v>
      </c>
      <c r="J40" s="5" t="n">
        <v>1057</v>
      </c>
      <c r="K40" s="7" t="n">
        <f aca="false">IF(H40=0,0,I40/H40)</f>
        <v>0</v>
      </c>
      <c r="L40" s="5" t="s">
        <v>947</v>
      </c>
      <c r="M40" s="5" t="s">
        <v>1045</v>
      </c>
    </row>
    <row r="41" customFormat="false" ht="15" hidden="false" customHeight="false" outlineLevel="0" collapsed="false">
      <c r="A41" s="4" t="s">
        <v>1046</v>
      </c>
      <c r="B41" s="4" t="s">
        <v>29</v>
      </c>
      <c r="C41" s="4" t="s">
        <v>944</v>
      </c>
      <c r="D41" s="4" t="s">
        <v>987</v>
      </c>
      <c r="E41" s="4" t="s">
        <v>997</v>
      </c>
      <c r="F41" s="4" t="n">
        <v>20</v>
      </c>
      <c r="G41" s="4" t="n">
        <v>46</v>
      </c>
      <c r="H41" s="4" t="n">
        <v>58</v>
      </c>
      <c r="I41" s="4" t="n">
        <v>14</v>
      </c>
      <c r="J41" s="4" t="n">
        <v>44</v>
      </c>
      <c r="K41" s="6" t="n">
        <f aca="false">IF(H41=0,0,I41/H41)</f>
        <v>0.241379310344828</v>
      </c>
      <c r="L41" s="4" t="s">
        <v>947</v>
      </c>
      <c r="M41" s="4" t="s">
        <v>1047</v>
      </c>
    </row>
    <row r="42" customFormat="false" ht="15" hidden="false" customHeight="false" outlineLevel="0" collapsed="false">
      <c r="A42" s="5" t="s">
        <v>1048</v>
      </c>
      <c r="B42" s="5" t="s">
        <v>82</v>
      </c>
      <c r="C42" s="5" t="s">
        <v>953</v>
      </c>
      <c r="D42" s="5" t="s">
        <v>987</v>
      </c>
      <c r="E42" s="5" t="s">
        <v>1049</v>
      </c>
      <c r="F42" s="5" t="n">
        <v>20</v>
      </c>
      <c r="G42" s="5" t="n">
        <v>50</v>
      </c>
      <c r="H42" s="5" t="n">
        <v>205</v>
      </c>
      <c r="I42" s="5" t="n">
        <v>0</v>
      </c>
      <c r="J42" s="5" t="n">
        <v>205</v>
      </c>
      <c r="K42" s="7" t="n">
        <f aca="false">IF(H42=0,0,I42/H42)</f>
        <v>0</v>
      </c>
      <c r="L42" s="5" t="s">
        <v>947</v>
      </c>
      <c r="M42" s="5" t="s">
        <v>1050</v>
      </c>
    </row>
    <row r="43" customFormat="false" ht="15" hidden="false" customHeight="false" outlineLevel="0" collapsed="false">
      <c r="A43" s="5" t="s">
        <v>1051</v>
      </c>
      <c r="B43" s="5" t="s">
        <v>182</v>
      </c>
      <c r="C43" s="5" t="s">
        <v>953</v>
      </c>
      <c r="D43" s="5" t="s">
        <v>987</v>
      </c>
      <c r="E43" s="5" t="s">
        <v>1049</v>
      </c>
      <c r="F43" s="5" t="n">
        <v>20</v>
      </c>
      <c r="G43" s="5" t="n">
        <v>48</v>
      </c>
      <c r="H43" s="5" t="n">
        <v>52</v>
      </c>
      <c r="I43" s="5" t="n">
        <v>0</v>
      </c>
      <c r="J43" s="5" t="n">
        <v>52</v>
      </c>
      <c r="K43" s="7" t="n">
        <f aca="false">IF(H43=0,0,I43/H43)</f>
        <v>0</v>
      </c>
      <c r="L43" s="5" t="s">
        <v>947</v>
      </c>
      <c r="M43" s="5" t="s">
        <v>1052</v>
      </c>
    </row>
    <row r="44" customFormat="false" ht="15" hidden="false" customHeight="false" outlineLevel="0" collapsed="false">
      <c r="A44" s="5" t="s">
        <v>1053</v>
      </c>
      <c r="B44" s="5" t="s">
        <v>31</v>
      </c>
      <c r="C44" s="5" t="s">
        <v>953</v>
      </c>
      <c r="D44" s="5" t="s">
        <v>987</v>
      </c>
      <c r="E44" s="5" t="s">
        <v>1049</v>
      </c>
      <c r="F44" s="5" t="n">
        <v>20</v>
      </c>
      <c r="G44" s="5" t="n">
        <v>46</v>
      </c>
      <c r="H44" s="5" t="n">
        <v>101</v>
      </c>
      <c r="I44" s="5" t="n">
        <v>0</v>
      </c>
      <c r="J44" s="5" t="n">
        <v>101</v>
      </c>
      <c r="K44" s="7" t="n">
        <f aca="false">IF(H44=0,0,I44/H44)</f>
        <v>0</v>
      </c>
      <c r="L44" s="5" t="s">
        <v>947</v>
      </c>
      <c r="M44" s="5" t="s">
        <v>1054</v>
      </c>
    </row>
    <row r="45" customFormat="false" ht="15" hidden="false" customHeight="false" outlineLevel="0" collapsed="false">
      <c r="A45" s="5" t="s">
        <v>1055</v>
      </c>
      <c r="B45" s="5" t="s">
        <v>30</v>
      </c>
      <c r="C45" s="5" t="s">
        <v>953</v>
      </c>
      <c r="D45" s="5" t="s">
        <v>987</v>
      </c>
      <c r="E45" s="5" t="s">
        <v>1049</v>
      </c>
      <c r="F45" s="5" t="n">
        <v>20</v>
      </c>
      <c r="G45" s="5" t="n">
        <v>50</v>
      </c>
      <c r="H45" s="5" t="n">
        <v>413</v>
      </c>
      <c r="I45" s="5" t="n">
        <v>0</v>
      </c>
      <c r="J45" s="5" t="n">
        <v>413</v>
      </c>
      <c r="K45" s="7" t="n">
        <f aca="false">IF(H45=0,0,I45/H45)</f>
        <v>0</v>
      </c>
      <c r="L45" s="5" t="s">
        <v>947</v>
      </c>
      <c r="M45" s="5" t="s">
        <v>1056</v>
      </c>
    </row>
    <row r="46" customFormat="false" ht="15" hidden="false" customHeight="false" outlineLevel="0" collapsed="false">
      <c r="A46" s="5" t="s">
        <v>1057</v>
      </c>
      <c r="B46" s="5" t="s">
        <v>76</v>
      </c>
      <c r="C46" s="5" t="s">
        <v>953</v>
      </c>
      <c r="D46" s="5" t="s">
        <v>987</v>
      </c>
      <c r="E46" s="5" t="s">
        <v>1049</v>
      </c>
      <c r="F46" s="5" t="n">
        <v>20</v>
      </c>
      <c r="G46" s="5" t="n">
        <v>47</v>
      </c>
      <c r="H46" s="5" t="n">
        <v>254</v>
      </c>
      <c r="I46" s="5" t="n">
        <v>0</v>
      </c>
      <c r="J46" s="5" t="n">
        <v>254</v>
      </c>
      <c r="K46" s="7" t="n">
        <f aca="false">IF(H46=0,0,I46/H46)</f>
        <v>0</v>
      </c>
      <c r="L46" s="5" t="s">
        <v>947</v>
      </c>
      <c r="M46" s="5" t="s">
        <v>1058</v>
      </c>
    </row>
    <row r="47" customFormat="false" ht="15" hidden="false" customHeight="false" outlineLevel="0" collapsed="false">
      <c r="A47" s="5" t="s">
        <v>1059</v>
      </c>
      <c r="B47" s="5" t="s">
        <v>77</v>
      </c>
      <c r="C47" s="5" t="s">
        <v>953</v>
      </c>
      <c r="D47" s="5" t="s">
        <v>987</v>
      </c>
      <c r="E47" s="5" t="s">
        <v>1049</v>
      </c>
      <c r="F47" s="5" t="n">
        <v>19</v>
      </c>
      <c r="G47" s="5" t="n">
        <v>46</v>
      </c>
      <c r="H47" s="5" t="n">
        <v>60</v>
      </c>
      <c r="I47" s="5" t="n">
        <v>0</v>
      </c>
      <c r="J47" s="5" t="n">
        <v>60</v>
      </c>
      <c r="K47" s="7" t="n">
        <f aca="false">IF(H47=0,0,I47/H47)</f>
        <v>0</v>
      </c>
      <c r="L47" s="5" t="s">
        <v>947</v>
      </c>
      <c r="M47" s="5" t="s">
        <v>1060</v>
      </c>
    </row>
    <row r="48" customFormat="false" ht="15" hidden="false" customHeight="false" outlineLevel="0" collapsed="false">
      <c r="A48" s="5" t="s">
        <v>1061</v>
      </c>
      <c r="B48" s="5" t="s">
        <v>53</v>
      </c>
      <c r="C48" s="5" t="s">
        <v>953</v>
      </c>
      <c r="D48" s="5" t="s">
        <v>1062</v>
      </c>
      <c r="E48" s="5" t="s">
        <v>1063</v>
      </c>
      <c r="F48" s="5" t="n">
        <v>19</v>
      </c>
      <c r="G48" s="5" t="n">
        <v>46</v>
      </c>
      <c r="H48" s="5" t="n">
        <v>125</v>
      </c>
      <c r="I48" s="5" t="n">
        <v>0</v>
      </c>
      <c r="J48" s="5" t="n">
        <v>125</v>
      </c>
      <c r="K48" s="7" t="n">
        <f aca="false">IF(H48=0,0,I48/H48)</f>
        <v>0</v>
      </c>
      <c r="L48" s="5" t="s">
        <v>947</v>
      </c>
      <c r="M48" s="5" t="s">
        <v>1064</v>
      </c>
    </row>
    <row r="49" customFormat="false" ht="15" hidden="false" customHeight="false" outlineLevel="0" collapsed="false">
      <c r="A49" s="5" t="s">
        <v>1065</v>
      </c>
      <c r="B49" s="5" t="s">
        <v>39</v>
      </c>
      <c r="C49" s="5" t="s">
        <v>953</v>
      </c>
      <c r="D49" s="5" t="s">
        <v>1062</v>
      </c>
      <c r="E49" s="5" t="s">
        <v>1063</v>
      </c>
      <c r="F49" s="5" t="n">
        <v>19</v>
      </c>
      <c r="G49" s="5" t="n">
        <v>46</v>
      </c>
      <c r="H49" s="5" t="n">
        <v>104</v>
      </c>
      <c r="I49" s="5" t="n">
        <v>0</v>
      </c>
      <c r="J49" s="5" t="n">
        <v>104</v>
      </c>
      <c r="K49" s="7" t="n">
        <f aca="false">IF(H49=0,0,I49/H49)</f>
        <v>0</v>
      </c>
      <c r="L49" s="5" t="s">
        <v>947</v>
      </c>
      <c r="M49" s="5" t="s">
        <v>1066</v>
      </c>
    </row>
    <row r="50" customFormat="false" ht="15" hidden="false" customHeight="false" outlineLevel="0" collapsed="false">
      <c r="A50" s="5" t="s">
        <v>1067</v>
      </c>
      <c r="B50" s="5" t="s">
        <v>34</v>
      </c>
      <c r="C50" s="5" t="s">
        <v>953</v>
      </c>
      <c r="D50" s="5" t="s">
        <v>1062</v>
      </c>
      <c r="E50" s="5" t="s">
        <v>1063</v>
      </c>
      <c r="F50" s="5" t="n">
        <v>19</v>
      </c>
      <c r="G50" s="5" t="n">
        <v>46</v>
      </c>
      <c r="H50" s="5" t="n">
        <v>92</v>
      </c>
      <c r="I50" s="5" t="n">
        <v>0</v>
      </c>
      <c r="J50" s="5" t="n">
        <v>92</v>
      </c>
      <c r="K50" s="7" t="n">
        <f aca="false">IF(H50=0,0,I50/H50)</f>
        <v>0</v>
      </c>
      <c r="L50" s="5" t="s">
        <v>947</v>
      </c>
      <c r="M50" s="5" t="s">
        <v>1068</v>
      </c>
    </row>
    <row r="51" customFormat="false" ht="15" hidden="false" customHeight="false" outlineLevel="0" collapsed="false">
      <c r="A51" s="5" t="s">
        <v>1069</v>
      </c>
      <c r="B51" s="5" t="s">
        <v>18</v>
      </c>
      <c r="C51" s="5" t="s">
        <v>953</v>
      </c>
      <c r="D51" s="5" t="s">
        <v>1062</v>
      </c>
      <c r="E51" s="5" t="s">
        <v>1063</v>
      </c>
      <c r="F51" s="5" t="n">
        <v>19</v>
      </c>
      <c r="G51" s="5" t="n">
        <v>47</v>
      </c>
      <c r="H51" s="5" t="n">
        <v>306</v>
      </c>
      <c r="I51" s="5" t="n">
        <v>0</v>
      </c>
      <c r="J51" s="5" t="n">
        <v>306</v>
      </c>
      <c r="K51" s="7" t="n">
        <f aca="false">IF(H51=0,0,I51/H51)</f>
        <v>0</v>
      </c>
      <c r="L51" s="5" t="s">
        <v>947</v>
      </c>
      <c r="M51" s="5" t="s">
        <v>1070</v>
      </c>
    </row>
    <row r="52" customFormat="false" ht="15" hidden="false" customHeight="false" outlineLevel="0" collapsed="false">
      <c r="A52" s="5" t="s">
        <v>1071</v>
      </c>
      <c r="B52" s="5" t="s">
        <v>387</v>
      </c>
      <c r="C52" s="5" t="s">
        <v>953</v>
      </c>
      <c r="D52" s="5" t="s">
        <v>1062</v>
      </c>
      <c r="E52" s="5" t="s">
        <v>1063</v>
      </c>
      <c r="F52" s="5" t="n">
        <v>19</v>
      </c>
      <c r="G52" s="5" t="n">
        <v>51</v>
      </c>
      <c r="H52" s="5" t="n">
        <v>286</v>
      </c>
      <c r="I52" s="5" t="n">
        <v>0</v>
      </c>
      <c r="J52" s="5" t="n">
        <v>286</v>
      </c>
      <c r="K52" s="7" t="n">
        <f aca="false">IF(H52=0,0,I52/H52)</f>
        <v>0</v>
      </c>
      <c r="L52" s="5" t="s">
        <v>947</v>
      </c>
      <c r="M52" s="5" t="s">
        <v>1072</v>
      </c>
    </row>
    <row r="53" customFormat="false" ht="15" hidden="false" customHeight="false" outlineLevel="0" collapsed="false">
      <c r="A53" s="5" t="s">
        <v>1073</v>
      </c>
      <c r="B53" s="5" t="s">
        <v>78</v>
      </c>
      <c r="C53" s="5" t="s">
        <v>953</v>
      </c>
      <c r="D53" s="5" t="s">
        <v>1062</v>
      </c>
      <c r="E53" s="5" t="s">
        <v>1063</v>
      </c>
      <c r="F53" s="5" t="n">
        <v>19</v>
      </c>
      <c r="G53" s="5" t="n">
        <v>46</v>
      </c>
      <c r="H53" s="5" t="n">
        <v>61</v>
      </c>
      <c r="I53" s="5" t="n">
        <v>0</v>
      </c>
      <c r="J53" s="5" t="n">
        <v>61</v>
      </c>
      <c r="K53" s="7" t="n">
        <f aca="false">IF(H53=0,0,I53/H53)</f>
        <v>0</v>
      </c>
      <c r="L53" s="5" t="s">
        <v>947</v>
      </c>
      <c r="M53" s="5" t="s">
        <v>1074</v>
      </c>
    </row>
    <row r="54" customFormat="false" ht="15" hidden="false" customHeight="false" outlineLevel="0" collapsed="false">
      <c r="A54" s="5" t="s">
        <v>1075</v>
      </c>
      <c r="B54" s="5" t="s">
        <v>70</v>
      </c>
      <c r="C54" s="5" t="s">
        <v>953</v>
      </c>
      <c r="D54" s="5" t="s">
        <v>1062</v>
      </c>
      <c r="E54" s="5" t="s">
        <v>1063</v>
      </c>
      <c r="F54" s="5" t="n">
        <v>19</v>
      </c>
      <c r="G54" s="5" t="n">
        <v>47</v>
      </c>
      <c r="H54" s="5" t="n">
        <v>192</v>
      </c>
      <c r="I54" s="5" t="n">
        <v>0</v>
      </c>
      <c r="J54" s="5" t="n">
        <v>192</v>
      </c>
      <c r="K54" s="7" t="n">
        <f aca="false">IF(H54=0,0,I54/H54)</f>
        <v>0</v>
      </c>
      <c r="L54" s="5" t="s">
        <v>947</v>
      </c>
      <c r="M54" s="5" t="s">
        <v>1076</v>
      </c>
    </row>
    <row r="55" customFormat="false" ht="15" hidden="false" customHeight="false" outlineLevel="0" collapsed="false">
      <c r="A55" s="5" t="s">
        <v>1077</v>
      </c>
      <c r="B55" s="5" t="s">
        <v>394</v>
      </c>
      <c r="C55" s="5" t="s">
        <v>953</v>
      </c>
      <c r="D55" s="5" t="s">
        <v>1062</v>
      </c>
      <c r="E55" s="5" t="s">
        <v>1063</v>
      </c>
      <c r="F55" s="5" t="n">
        <v>19</v>
      </c>
      <c r="G55" s="5" t="n">
        <v>45</v>
      </c>
      <c r="H55" s="5" t="n">
        <v>97</v>
      </c>
      <c r="I55" s="5" t="n">
        <v>0</v>
      </c>
      <c r="J55" s="5" t="n">
        <v>97</v>
      </c>
      <c r="K55" s="7" t="n">
        <f aca="false">IF(H55=0,0,I55/H55)</f>
        <v>0</v>
      </c>
      <c r="L55" s="5" t="s">
        <v>947</v>
      </c>
      <c r="M55" s="5" t="s">
        <v>1078</v>
      </c>
    </row>
    <row r="56" customFormat="false" ht="15" hidden="false" customHeight="false" outlineLevel="0" collapsed="false">
      <c r="A56" s="5" t="s">
        <v>1079</v>
      </c>
      <c r="B56" s="5" t="s">
        <v>33</v>
      </c>
      <c r="C56" s="5" t="s">
        <v>953</v>
      </c>
      <c r="D56" s="5" t="s">
        <v>1062</v>
      </c>
      <c r="E56" s="5" t="s">
        <v>1063</v>
      </c>
      <c r="F56" s="5" t="n">
        <v>19</v>
      </c>
      <c r="G56" s="5" t="n">
        <v>53</v>
      </c>
      <c r="H56" s="5" t="n">
        <v>587</v>
      </c>
      <c r="I56" s="5" t="n">
        <v>0</v>
      </c>
      <c r="J56" s="5" t="n">
        <v>587</v>
      </c>
      <c r="K56" s="7" t="n">
        <f aca="false">IF(H56=0,0,I56/H56)</f>
        <v>0</v>
      </c>
      <c r="L56" s="5" t="s">
        <v>947</v>
      </c>
      <c r="M56" s="5" t="s">
        <v>1080</v>
      </c>
    </row>
    <row r="57" customFormat="false" ht="15" hidden="false" customHeight="false" outlineLevel="0" collapsed="false">
      <c r="A57" s="5" t="s">
        <v>1081</v>
      </c>
      <c r="B57" s="5" t="s">
        <v>15</v>
      </c>
      <c r="C57" s="5" t="s">
        <v>953</v>
      </c>
      <c r="D57" s="5" t="s">
        <v>964</v>
      </c>
      <c r="E57" s="5" t="s">
        <v>950</v>
      </c>
      <c r="F57" s="5" t="n">
        <v>18</v>
      </c>
      <c r="G57" s="5" t="n">
        <v>55</v>
      </c>
      <c r="H57" s="5" t="n">
        <v>878</v>
      </c>
      <c r="I57" s="5" t="n">
        <v>0</v>
      </c>
      <c r="J57" s="5" t="n">
        <v>878</v>
      </c>
      <c r="K57" s="7" t="n">
        <f aca="false">IF(H57=0,0,I57/H57)</f>
        <v>0</v>
      </c>
      <c r="L57" s="5" t="s">
        <v>947</v>
      </c>
      <c r="M57" s="5" t="s">
        <v>1082</v>
      </c>
    </row>
    <row r="58" customFormat="false" ht="15" hidden="false" customHeight="false" outlineLevel="0" collapsed="false">
      <c r="A58" s="5" t="s">
        <v>1083</v>
      </c>
      <c r="B58" s="5" t="s">
        <v>33</v>
      </c>
      <c r="C58" s="5" t="s">
        <v>953</v>
      </c>
      <c r="D58" s="5" t="s">
        <v>964</v>
      </c>
      <c r="E58" s="5" t="s">
        <v>950</v>
      </c>
      <c r="F58" s="5" t="n">
        <v>18</v>
      </c>
      <c r="G58" s="5" t="n">
        <v>9</v>
      </c>
      <c r="H58" s="5" t="n">
        <v>99</v>
      </c>
      <c r="I58" s="5" t="n">
        <v>0</v>
      </c>
      <c r="J58" s="5" t="n">
        <v>99</v>
      </c>
      <c r="K58" s="7" t="n">
        <f aca="false">IF(H58=0,0,I58/H58)</f>
        <v>0</v>
      </c>
      <c r="L58" s="5" t="s">
        <v>947</v>
      </c>
      <c r="M58" s="5" t="s">
        <v>1084</v>
      </c>
    </row>
    <row r="59" customFormat="false" ht="15" hidden="false" customHeight="false" outlineLevel="0" collapsed="false">
      <c r="A59" s="4" t="s">
        <v>1085</v>
      </c>
      <c r="B59" s="4" t="s">
        <v>82</v>
      </c>
      <c r="C59" s="4" t="s">
        <v>953</v>
      </c>
      <c r="D59" s="4" t="s">
        <v>1013</v>
      </c>
      <c r="E59" s="4" t="s">
        <v>971</v>
      </c>
      <c r="F59" s="4" t="n">
        <v>4</v>
      </c>
      <c r="G59" s="4" t="n">
        <v>11</v>
      </c>
      <c r="H59" s="4" t="n">
        <v>90</v>
      </c>
      <c r="I59" s="4" t="n">
        <v>0</v>
      </c>
      <c r="J59" s="4" t="n">
        <v>90</v>
      </c>
      <c r="K59" s="6" t="n">
        <f aca="false">IF(H59=0,0,I59/H59)</f>
        <v>0</v>
      </c>
      <c r="L59" s="4" t="s">
        <v>947</v>
      </c>
      <c r="M59" s="4" t="s">
        <v>1086</v>
      </c>
    </row>
    <row r="60" customFormat="false" ht="15" hidden="false" customHeight="false" outlineLevel="0" collapsed="false">
      <c r="A60" s="4" t="s">
        <v>1087</v>
      </c>
      <c r="B60" s="4" t="s">
        <v>182</v>
      </c>
      <c r="C60" s="4" t="s">
        <v>953</v>
      </c>
      <c r="D60" s="4" t="s">
        <v>1013</v>
      </c>
      <c r="E60" s="4" t="s">
        <v>971</v>
      </c>
      <c r="F60" s="4" t="n">
        <v>4</v>
      </c>
      <c r="G60" s="4" t="n">
        <v>16</v>
      </c>
      <c r="H60" s="4" t="n">
        <v>85</v>
      </c>
      <c r="I60" s="4" t="n">
        <v>0</v>
      </c>
      <c r="J60" s="4" t="n">
        <v>85</v>
      </c>
      <c r="K60" s="6" t="n">
        <f aca="false">IF(H60=0,0,I60/H60)</f>
        <v>0</v>
      </c>
      <c r="L60" s="4" t="s">
        <v>947</v>
      </c>
      <c r="M60" s="4" t="s">
        <v>1088</v>
      </c>
    </row>
    <row r="61" customFormat="false" ht="15" hidden="false" customHeight="false" outlineLevel="0" collapsed="false">
      <c r="A61" s="4" t="s">
        <v>1089</v>
      </c>
      <c r="B61" s="4" t="s">
        <v>76</v>
      </c>
      <c r="C61" s="4" t="s">
        <v>953</v>
      </c>
      <c r="D61" s="4" t="s">
        <v>1013</v>
      </c>
      <c r="E61" s="4" t="s">
        <v>971</v>
      </c>
      <c r="F61" s="4" t="n">
        <v>4</v>
      </c>
      <c r="G61" s="4" t="n">
        <v>10</v>
      </c>
      <c r="H61" s="4" t="n">
        <v>112</v>
      </c>
      <c r="I61" s="4" t="n">
        <v>0</v>
      </c>
      <c r="J61" s="4" t="n">
        <v>112</v>
      </c>
      <c r="K61" s="6" t="n">
        <f aca="false">IF(H61=0,0,I61/H61)</f>
        <v>0</v>
      </c>
      <c r="L61" s="4" t="s">
        <v>947</v>
      </c>
      <c r="M61" s="4" t="s">
        <v>1090</v>
      </c>
    </row>
    <row r="62" customFormat="false" ht="15" hidden="false" customHeight="false" outlineLevel="0" collapsed="false">
      <c r="A62" s="4" t="s">
        <v>1091</v>
      </c>
      <c r="B62" s="4" t="s">
        <v>74</v>
      </c>
      <c r="C62" s="4" t="s">
        <v>953</v>
      </c>
      <c r="D62" s="4" t="s">
        <v>1013</v>
      </c>
      <c r="E62" s="4" t="s">
        <v>971</v>
      </c>
      <c r="F62" s="4" t="n">
        <v>4</v>
      </c>
      <c r="G62" s="4" t="n">
        <v>20</v>
      </c>
      <c r="H62" s="4" t="n">
        <v>172</v>
      </c>
      <c r="I62" s="4" t="n">
        <v>0</v>
      </c>
      <c r="J62" s="4" t="n">
        <v>172</v>
      </c>
      <c r="K62" s="6" t="n">
        <f aca="false">IF(H62=0,0,I62/H62)</f>
        <v>0</v>
      </c>
      <c r="L62" s="4" t="s">
        <v>947</v>
      </c>
      <c r="M62" s="4" t="s">
        <v>1092</v>
      </c>
    </row>
    <row r="63" customFormat="false" ht="15" hidden="false" customHeight="false" outlineLevel="0" collapsed="false">
      <c r="A63" s="4" t="s">
        <v>1093</v>
      </c>
      <c r="B63" s="4" t="s">
        <v>75</v>
      </c>
      <c r="C63" s="4" t="s">
        <v>953</v>
      </c>
      <c r="D63" s="4" t="s">
        <v>1013</v>
      </c>
      <c r="E63" s="4" t="s">
        <v>971</v>
      </c>
      <c r="F63" s="4" t="n">
        <v>4</v>
      </c>
      <c r="G63" s="4" t="n">
        <v>12</v>
      </c>
      <c r="H63" s="4" t="n">
        <v>97</v>
      </c>
      <c r="I63" s="4" t="n">
        <v>0</v>
      </c>
      <c r="J63" s="4" t="n">
        <v>97</v>
      </c>
      <c r="K63" s="6" t="n">
        <f aca="false">IF(H63=0,0,I63/H63)</f>
        <v>0</v>
      </c>
      <c r="L63" s="4" t="s">
        <v>947</v>
      </c>
      <c r="M63" s="4" t="s">
        <v>1094</v>
      </c>
    </row>
    <row r="64" customFormat="false" ht="15" hidden="false" customHeight="false" outlineLevel="0" collapsed="false">
      <c r="A64" s="4" t="s">
        <v>1095</v>
      </c>
      <c r="B64" s="4" t="s">
        <v>31</v>
      </c>
      <c r="C64" s="4" t="s">
        <v>953</v>
      </c>
      <c r="D64" s="4" t="s">
        <v>1013</v>
      </c>
      <c r="E64" s="4" t="s">
        <v>971</v>
      </c>
      <c r="F64" s="4" t="n">
        <v>4</v>
      </c>
      <c r="G64" s="4" t="n">
        <v>25</v>
      </c>
      <c r="H64" s="4" t="n">
        <v>295</v>
      </c>
      <c r="I64" s="4" t="n">
        <v>0</v>
      </c>
      <c r="J64" s="4" t="n">
        <v>295</v>
      </c>
      <c r="K64" s="6" t="n">
        <f aca="false">IF(H64=0,0,I64/H64)</f>
        <v>0</v>
      </c>
      <c r="L64" s="4" t="s">
        <v>947</v>
      </c>
      <c r="M64" s="4" t="s">
        <v>1096</v>
      </c>
    </row>
    <row r="65" customFormat="false" ht="15" hidden="false" customHeight="false" outlineLevel="0" collapsed="false">
      <c r="A65" s="4" t="s">
        <v>1097</v>
      </c>
      <c r="B65" s="4" t="s">
        <v>30</v>
      </c>
      <c r="C65" s="4" t="s">
        <v>953</v>
      </c>
      <c r="D65" s="4" t="s">
        <v>1013</v>
      </c>
      <c r="E65" s="4" t="s">
        <v>971</v>
      </c>
      <c r="F65" s="4" t="n">
        <v>4</v>
      </c>
      <c r="G65" s="4" t="n">
        <v>29</v>
      </c>
      <c r="H65" s="4" t="n">
        <v>87</v>
      </c>
      <c r="I65" s="4" t="n">
        <v>0</v>
      </c>
      <c r="J65" s="4" t="n">
        <v>87</v>
      </c>
      <c r="K65" s="6" t="n">
        <f aca="false">IF(H65=0,0,I65/H65)</f>
        <v>0</v>
      </c>
      <c r="L65" s="4" t="s">
        <v>947</v>
      </c>
      <c r="M65" s="4" t="s">
        <v>1098</v>
      </c>
    </row>
    <row r="66" customFormat="false" ht="15" hidden="false" customHeight="false" outlineLevel="0" collapsed="false">
      <c r="A66" s="4" t="s">
        <v>1099</v>
      </c>
      <c r="B66" s="4" t="s">
        <v>77</v>
      </c>
      <c r="C66" s="4" t="s">
        <v>953</v>
      </c>
      <c r="D66" s="4" t="s">
        <v>1013</v>
      </c>
      <c r="E66" s="4" t="s">
        <v>971</v>
      </c>
      <c r="F66" s="4" t="n">
        <v>3</v>
      </c>
      <c r="G66" s="4" t="n">
        <v>19</v>
      </c>
      <c r="H66" s="4" t="n">
        <v>153</v>
      </c>
      <c r="I66" s="4" t="n">
        <v>0</v>
      </c>
      <c r="J66" s="4" t="n">
        <v>153</v>
      </c>
      <c r="K66" s="6" t="n">
        <f aca="false">IF(H66=0,0,I66/H66)</f>
        <v>0</v>
      </c>
      <c r="L66" s="4" t="s">
        <v>947</v>
      </c>
      <c r="M66" s="4" t="s">
        <v>1100</v>
      </c>
    </row>
    <row r="67" customFormat="false" ht="15" hidden="false" customHeight="false" outlineLevel="0" collapsed="false">
      <c r="A67" s="4" t="s">
        <v>1101</v>
      </c>
      <c r="B67" s="4" t="s">
        <v>53</v>
      </c>
      <c r="C67" s="4" t="s">
        <v>953</v>
      </c>
      <c r="D67" s="4" t="s">
        <v>984</v>
      </c>
      <c r="E67" s="4" t="s">
        <v>984</v>
      </c>
      <c r="F67" s="4" t="n">
        <v>2</v>
      </c>
      <c r="G67" s="4" t="n">
        <v>19</v>
      </c>
      <c r="H67" s="4" t="n">
        <v>169</v>
      </c>
      <c r="I67" s="4" t="n">
        <v>0</v>
      </c>
      <c r="J67" s="4" t="n">
        <v>169</v>
      </c>
      <c r="K67" s="6" t="n">
        <f aca="false">IF(H67=0,0,I67/H67)</f>
        <v>0</v>
      </c>
      <c r="L67" s="4" t="s">
        <v>947</v>
      </c>
      <c r="M67" s="4" t="s">
        <v>1102</v>
      </c>
    </row>
    <row r="68" customFormat="false" ht="15" hidden="false" customHeight="false" outlineLevel="0" collapsed="false">
      <c r="A68" s="4" t="s">
        <v>1103</v>
      </c>
      <c r="B68" s="4" t="s">
        <v>70</v>
      </c>
      <c r="C68" s="4" t="s">
        <v>953</v>
      </c>
      <c r="D68" s="4" t="s">
        <v>984</v>
      </c>
      <c r="E68" s="4" t="s">
        <v>984</v>
      </c>
      <c r="F68" s="4" t="n">
        <v>2</v>
      </c>
      <c r="G68" s="4" t="n">
        <v>17</v>
      </c>
      <c r="H68" s="4" t="n">
        <v>141</v>
      </c>
      <c r="I68" s="4" t="n">
        <v>0</v>
      </c>
      <c r="J68" s="4" t="n">
        <v>141</v>
      </c>
      <c r="K68" s="6" t="n">
        <f aca="false">IF(H68=0,0,I68/H68)</f>
        <v>0</v>
      </c>
      <c r="L68" s="4" t="s">
        <v>947</v>
      </c>
      <c r="M68" s="4" t="s">
        <v>1104</v>
      </c>
    </row>
    <row r="69" customFormat="false" ht="15" hidden="false" customHeight="false" outlineLevel="0" collapsed="false">
      <c r="A69" s="4" t="s">
        <v>1105</v>
      </c>
      <c r="B69" s="4" t="s">
        <v>394</v>
      </c>
      <c r="C69" s="4" t="s">
        <v>953</v>
      </c>
      <c r="D69" s="4" t="s">
        <v>984</v>
      </c>
      <c r="E69" s="4" t="s">
        <v>984</v>
      </c>
      <c r="F69" s="4" t="n">
        <v>2</v>
      </c>
      <c r="G69" s="4" t="n">
        <v>18</v>
      </c>
      <c r="H69" s="4" t="n">
        <v>115</v>
      </c>
      <c r="I69" s="4" t="n">
        <v>0</v>
      </c>
      <c r="J69" s="4" t="n">
        <v>115</v>
      </c>
      <c r="K69" s="6" t="n">
        <f aca="false">IF(H69=0,0,I69/H69)</f>
        <v>0</v>
      </c>
      <c r="L69" s="4" t="s">
        <v>947</v>
      </c>
      <c r="M69" s="4" t="s">
        <v>1106</v>
      </c>
    </row>
    <row r="70" customFormat="false" ht="15" hidden="false" customHeight="false" outlineLevel="0" collapsed="false">
      <c r="A70" s="4" t="s">
        <v>1107</v>
      </c>
      <c r="B70" s="4" t="s">
        <v>40</v>
      </c>
      <c r="C70" s="4" t="s">
        <v>953</v>
      </c>
      <c r="D70" s="4" t="s">
        <v>984</v>
      </c>
      <c r="E70" s="4" t="s">
        <v>984</v>
      </c>
      <c r="F70" s="4" t="n">
        <v>2</v>
      </c>
      <c r="G70" s="4" t="n">
        <v>18</v>
      </c>
      <c r="H70" s="4" t="n">
        <v>180</v>
      </c>
      <c r="I70" s="4" t="n">
        <v>0</v>
      </c>
      <c r="J70" s="4" t="n">
        <v>180</v>
      </c>
      <c r="K70" s="6" t="n">
        <f aca="false">IF(H70=0,0,I70/H70)</f>
        <v>0</v>
      </c>
      <c r="L70" s="4" t="s">
        <v>947</v>
      </c>
      <c r="M70" s="4" t="s">
        <v>1108</v>
      </c>
    </row>
    <row r="71" customFormat="false" ht="15" hidden="false" customHeight="false" outlineLevel="0" collapsed="false">
      <c r="A71" s="3" t="s">
        <v>1109</v>
      </c>
      <c r="B71" s="3" t="s">
        <v>15</v>
      </c>
      <c r="C71" s="3" t="s">
        <v>953</v>
      </c>
      <c r="D71" s="3" t="s">
        <v>984</v>
      </c>
      <c r="E71" s="3" t="s">
        <v>984</v>
      </c>
      <c r="F71" s="3" t="n">
        <v>2</v>
      </c>
      <c r="G71" s="3" t="n">
        <v>55</v>
      </c>
      <c r="H71" s="3" t="n">
        <v>592</v>
      </c>
      <c r="I71" s="3" t="n">
        <v>0</v>
      </c>
      <c r="J71" s="3" t="n">
        <v>592</v>
      </c>
      <c r="K71" s="8" t="n">
        <f aca="false">IF(H71=0,0,I71/H71)</f>
        <v>0</v>
      </c>
      <c r="L71" s="3" t="s">
        <v>947</v>
      </c>
      <c r="M71" s="3" t="s">
        <v>1110</v>
      </c>
    </row>
    <row r="72" customFormat="false" ht="15" hidden="false" customHeight="false" outlineLevel="0" collapsed="false">
      <c r="A72" s="4" t="s">
        <v>1111</v>
      </c>
      <c r="B72" s="4" t="s">
        <v>35</v>
      </c>
      <c r="C72" s="4" t="s">
        <v>953</v>
      </c>
      <c r="D72" s="4" t="s">
        <v>984</v>
      </c>
      <c r="E72" s="4" t="s">
        <v>984</v>
      </c>
      <c r="F72" s="4" t="n">
        <v>2</v>
      </c>
      <c r="G72" s="4" t="n">
        <v>14</v>
      </c>
      <c r="H72" s="4" t="n">
        <v>47</v>
      </c>
      <c r="I72" s="4" t="n">
        <v>0</v>
      </c>
      <c r="J72" s="4" t="n">
        <v>47</v>
      </c>
      <c r="K72" s="6" t="n">
        <f aca="false">IF(H72=0,0,I72/H72)</f>
        <v>0</v>
      </c>
      <c r="L72" s="4" t="s">
        <v>947</v>
      </c>
      <c r="M72" s="4" t="s">
        <v>1112</v>
      </c>
    </row>
    <row r="73" customFormat="false" ht="15" hidden="false" customHeight="false" outlineLevel="0" collapsed="false">
      <c r="A73" s="4" t="s">
        <v>1113</v>
      </c>
      <c r="B73" s="4" t="s">
        <v>39</v>
      </c>
      <c r="C73" s="4" t="s">
        <v>953</v>
      </c>
      <c r="D73" s="4" t="s">
        <v>984</v>
      </c>
      <c r="E73" s="4" t="s">
        <v>984</v>
      </c>
      <c r="F73" s="4" t="n">
        <v>2</v>
      </c>
      <c r="G73" s="4" t="n">
        <v>36</v>
      </c>
      <c r="H73" s="4" t="n">
        <v>265</v>
      </c>
      <c r="I73" s="4" t="n">
        <v>0</v>
      </c>
      <c r="J73" s="4" t="n">
        <v>265</v>
      </c>
      <c r="K73" s="6" t="n">
        <f aca="false">IF(H73=0,0,I73/H73)</f>
        <v>0</v>
      </c>
      <c r="L73" s="4" t="s">
        <v>947</v>
      </c>
      <c r="M73" s="4" t="s">
        <v>1114</v>
      </c>
    </row>
    <row r="74" customFormat="false" ht="15" hidden="false" customHeight="false" outlineLevel="0" collapsed="false">
      <c r="A74" s="3" t="s">
        <v>1115</v>
      </c>
      <c r="B74" s="3" t="s">
        <v>33</v>
      </c>
      <c r="C74" s="3" t="s">
        <v>953</v>
      </c>
      <c r="D74" s="3" t="s">
        <v>984</v>
      </c>
      <c r="E74" s="3" t="s">
        <v>984</v>
      </c>
      <c r="F74" s="3" t="n">
        <v>2</v>
      </c>
      <c r="G74" s="3" t="n">
        <v>53</v>
      </c>
      <c r="H74" s="3" t="n">
        <v>504</v>
      </c>
      <c r="I74" s="3" t="n">
        <v>0</v>
      </c>
      <c r="J74" s="3" t="n">
        <v>504</v>
      </c>
      <c r="K74" s="8" t="n">
        <f aca="false">IF(H74=0,0,I74/H74)</f>
        <v>0</v>
      </c>
      <c r="L74" s="3" t="s">
        <v>947</v>
      </c>
      <c r="M74" s="3" t="s">
        <v>1116</v>
      </c>
    </row>
    <row r="75" customFormat="false" ht="15" hidden="false" customHeight="false" outlineLevel="0" collapsed="false">
      <c r="A75" s="4" t="s">
        <v>1117</v>
      </c>
      <c r="B75" s="4" t="s">
        <v>82</v>
      </c>
      <c r="C75" s="4" t="s">
        <v>953</v>
      </c>
      <c r="D75" s="4" t="s">
        <v>984</v>
      </c>
      <c r="E75" s="4" t="s">
        <v>984</v>
      </c>
      <c r="F75" s="4" t="n">
        <v>1</v>
      </c>
      <c r="G75" s="4" t="n">
        <v>21</v>
      </c>
      <c r="H75" s="4" t="n">
        <v>154</v>
      </c>
      <c r="I75" s="4" t="n">
        <v>0</v>
      </c>
      <c r="J75" s="4" t="n">
        <v>154</v>
      </c>
      <c r="K75" s="6" t="n">
        <f aca="false">IF(H75=0,0,I75/H75)</f>
        <v>0</v>
      </c>
      <c r="L75" s="4" t="s">
        <v>947</v>
      </c>
      <c r="M75" s="4" t="s">
        <v>1118</v>
      </c>
    </row>
    <row r="76" customFormat="false" ht="15" hidden="false" customHeight="false" outlineLevel="0" collapsed="false">
      <c r="A76" s="4" t="s">
        <v>1119</v>
      </c>
      <c r="B76" s="4" t="s">
        <v>29</v>
      </c>
      <c r="C76" s="4" t="s">
        <v>953</v>
      </c>
      <c r="D76" s="4" t="s">
        <v>984</v>
      </c>
      <c r="E76" s="4" t="s">
        <v>984</v>
      </c>
      <c r="F76" s="4" t="n">
        <v>1</v>
      </c>
      <c r="G76" s="4" t="n">
        <v>26</v>
      </c>
      <c r="H76" s="4" t="n">
        <v>318</v>
      </c>
      <c r="I76" s="4" t="n">
        <v>0</v>
      </c>
      <c r="J76" s="4" t="n">
        <v>318</v>
      </c>
      <c r="K76" s="6" t="n">
        <f aca="false">IF(H76=0,0,I76/H76)</f>
        <v>0</v>
      </c>
      <c r="L76" s="4" t="s">
        <v>947</v>
      </c>
      <c r="M76" s="4" t="s">
        <v>1120</v>
      </c>
    </row>
    <row r="79" customFormat="false" ht="15" hidden="false" customHeight="false" outlineLevel="0" collapsed="false">
      <c r="A79" s="9" t="s">
        <v>1121</v>
      </c>
    </row>
    <row r="80" customFormat="false" ht="15" hidden="false" customHeight="false" outlineLevel="0" collapsed="false">
      <c r="A80" s="1" t="s">
        <v>0</v>
      </c>
      <c r="B80" s="1"/>
      <c r="C80" s="1"/>
      <c r="D80" s="1" t="n">
        <f aca="false">SUM(D82:D293)</f>
        <v>11274</v>
      </c>
      <c r="E80" s="1"/>
      <c r="F80" s="1"/>
    </row>
    <row r="81" customFormat="false" ht="15" hidden="false" customHeight="false" outlineLevel="0" collapsed="false">
      <c r="A81" s="2" t="s">
        <v>1</v>
      </c>
      <c r="B81" s="2" t="s">
        <v>2</v>
      </c>
      <c r="C81" s="2" t="s">
        <v>3</v>
      </c>
      <c r="D81" s="2" t="s">
        <v>939</v>
      </c>
      <c r="E81" s="2" t="s">
        <v>1122</v>
      </c>
      <c r="F81" s="2" t="s">
        <v>1123</v>
      </c>
    </row>
    <row r="82" customFormat="false" ht="15" hidden="false" customHeight="false" outlineLevel="0" collapsed="false">
      <c r="A82" s="3" t="s">
        <v>658</v>
      </c>
      <c r="B82" s="3" t="s">
        <v>659</v>
      </c>
      <c r="C82" s="3" t="s">
        <v>660</v>
      </c>
      <c r="D82" s="3" t="n">
        <v>1149</v>
      </c>
      <c r="E82" s="3" t="n">
        <v>34</v>
      </c>
      <c r="F82" s="3" t="s">
        <v>1124</v>
      </c>
    </row>
    <row r="83" customFormat="false" ht="15" hidden="false" customHeight="false" outlineLevel="0" collapsed="false">
      <c r="A83" s="3" t="s">
        <v>234</v>
      </c>
      <c r="B83" s="3" t="s">
        <v>235</v>
      </c>
      <c r="C83" s="3" t="s">
        <v>236</v>
      </c>
      <c r="D83" s="3" t="n">
        <v>934</v>
      </c>
      <c r="E83" s="3" t="n">
        <v>39</v>
      </c>
      <c r="F83" s="3" t="s">
        <v>1125</v>
      </c>
    </row>
    <row r="84" customFormat="false" ht="15" hidden="false" customHeight="false" outlineLevel="0" collapsed="false">
      <c r="A84" s="3" t="s">
        <v>179</v>
      </c>
      <c r="B84" s="3" t="s">
        <v>180</v>
      </c>
      <c r="C84" s="3" t="s">
        <v>181</v>
      </c>
      <c r="D84" s="3" t="n">
        <v>732</v>
      </c>
      <c r="E84" s="3" t="n">
        <v>19</v>
      </c>
      <c r="F84" s="3" t="s">
        <v>1126</v>
      </c>
    </row>
    <row r="85" customFormat="false" ht="15" hidden="false" customHeight="false" outlineLevel="0" collapsed="false">
      <c r="A85" s="3" t="s">
        <v>685</v>
      </c>
      <c r="B85" s="3" t="s">
        <v>686</v>
      </c>
      <c r="C85" s="3" t="s">
        <v>687</v>
      </c>
      <c r="D85" s="3" t="n">
        <v>483</v>
      </c>
      <c r="E85" s="3" t="n">
        <v>18</v>
      </c>
      <c r="F85" s="3" t="s">
        <v>1127</v>
      </c>
    </row>
    <row r="86" customFormat="false" ht="15" hidden="false" customHeight="false" outlineLevel="0" collapsed="false">
      <c r="A86" s="3" t="s">
        <v>222</v>
      </c>
      <c r="B86" s="3" t="s">
        <v>223</v>
      </c>
      <c r="C86" s="3" t="s">
        <v>224</v>
      </c>
      <c r="D86" s="3" t="n">
        <v>351</v>
      </c>
      <c r="E86" s="3" t="n">
        <v>27</v>
      </c>
      <c r="F86" s="3" t="s">
        <v>1128</v>
      </c>
    </row>
    <row r="87" customFormat="false" ht="15" hidden="false" customHeight="false" outlineLevel="0" collapsed="false">
      <c r="A87" s="3" t="s">
        <v>149</v>
      </c>
      <c r="B87" s="3" t="s">
        <v>150</v>
      </c>
      <c r="C87" s="3" t="s">
        <v>151</v>
      </c>
      <c r="D87" s="3" t="n">
        <v>296</v>
      </c>
      <c r="E87" s="3" t="n">
        <v>34</v>
      </c>
      <c r="F87" s="3" t="s">
        <v>1129</v>
      </c>
    </row>
    <row r="88" customFormat="false" ht="15" hidden="false" customHeight="false" outlineLevel="0" collapsed="false">
      <c r="A88" s="3" t="s">
        <v>273</v>
      </c>
      <c r="B88" s="3" t="s">
        <v>274</v>
      </c>
      <c r="C88" s="3" t="s">
        <v>275</v>
      </c>
      <c r="D88" s="3" t="n">
        <v>271</v>
      </c>
      <c r="E88" s="3" t="n">
        <v>18</v>
      </c>
      <c r="F88" s="3" t="s">
        <v>1130</v>
      </c>
    </row>
    <row r="89" customFormat="false" ht="15" hidden="false" customHeight="false" outlineLevel="0" collapsed="false">
      <c r="A89" s="3" t="s">
        <v>71</v>
      </c>
      <c r="B89" s="3" t="s">
        <v>72</v>
      </c>
      <c r="C89" s="3" t="s">
        <v>73</v>
      </c>
      <c r="D89" s="3" t="n">
        <v>247</v>
      </c>
      <c r="E89" s="3" t="n">
        <v>39</v>
      </c>
      <c r="F89" s="3" t="s">
        <v>1131</v>
      </c>
    </row>
    <row r="90" customFormat="false" ht="15" hidden="false" customHeight="false" outlineLevel="0" collapsed="false">
      <c r="A90" s="3" t="s">
        <v>131</v>
      </c>
      <c r="B90" s="3" t="s">
        <v>132</v>
      </c>
      <c r="C90" s="3" t="s">
        <v>133</v>
      </c>
      <c r="D90" s="3" t="n">
        <v>244</v>
      </c>
      <c r="E90" s="3" t="n">
        <v>5</v>
      </c>
      <c r="F90" s="3" t="s">
        <v>1132</v>
      </c>
    </row>
    <row r="91" customFormat="false" ht="15" hidden="false" customHeight="false" outlineLevel="0" collapsed="false">
      <c r="A91" s="3" t="s">
        <v>101</v>
      </c>
      <c r="B91" s="3" t="s">
        <v>102</v>
      </c>
      <c r="C91" s="3" t="s">
        <v>103</v>
      </c>
      <c r="D91" s="3" t="n">
        <v>233</v>
      </c>
      <c r="E91" s="3" t="n">
        <v>23</v>
      </c>
      <c r="F91" s="3" t="s">
        <v>1133</v>
      </c>
    </row>
    <row r="92" customFormat="false" ht="15" hidden="false" customHeight="false" outlineLevel="0" collapsed="false">
      <c r="A92" s="3" t="s">
        <v>741</v>
      </c>
      <c r="B92" s="3" t="s">
        <v>742</v>
      </c>
      <c r="C92" s="3" t="s">
        <v>743</v>
      </c>
      <c r="D92" s="3" t="n">
        <v>213</v>
      </c>
      <c r="E92" s="3" t="n">
        <v>32</v>
      </c>
      <c r="F92" s="3" t="s">
        <v>1134</v>
      </c>
    </row>
    <row r="93" customFormat="false" ht="15" hidden="false" customHeight="false" outlineLevel="0" collapsed="false">
      <c r="A93" s="3" t="s">
        <v>246</v>
      </c>
      <c r="B93" s="3" t="s">
        <v>247</v>
      </c>
      <c r="C93" s="3" t="s">
        <v>248</v>
      </c>
      <c r="D93" s="3" t="n">
        <v>203</v>
      </c>
      <c r="E93" s="3" t="n">
        <v>25</v>
      </c>
      <c r="F93" s="3" t="s">
        <v>1135</v>
      </c>
    </row>
    <row r="94" customFormat="false" ht="15" hidden="false" customHeight="false" outlineLevel="0" collapsed="false">
      <c r="A94" s="3" t="s">
        <v>735</v>
      </c>
      <c r="B94" s="3" t="s">
        <v>736</v>
      </c>
      <c r="C94" s="3" t="s">
        <v>737</v>
      </c>
      <c r="D94" s="3" t="n">
        <v>163</v>
      </c>
      <c r="E94" s="3" t="n">
        <v>11</v>
      </c>
      <c r="F94" s="3" t="s">
        <v>1136</v>
      </c>
    </row>
    <row r="95" customFormat="false" ht="15" hidden="false" customHeight="false" outlineLevel="0" collapsed="false">
      <c r="A95" s="3" t="s">
        <v>604</v>
      </c>
      <c r="B95" s="3" t="s">
        <v>605</v>
      </c>
      <c r="C95" s="3" t="s">
        <v>606</v>
      </c>
      <c r="D95" s="3" t="n">
        <v>163</v>
      </c>
      <c r="E95" s="3" t="n">
        <v>2</v>
      </c>
      <c r="F95" s="3" t="s">
        <v>1137</v>
      </c>
    </row>
    <row r="96" customFormat="false" ht="15" hidden="false" customHeight="false" outlineLevel="0" collapsed="false">
      <c r="A96" s="3" t="s">
        <v>86</v>
      </c>
      <c r="B96" s="3" t="s">
        <v>87</v>
      </c>
      <c r="C96" s="3" t="s">
        <v>88</v>
      </c>
      <c r="D96" s="3" t="n">
        <v>152</v>
      </c>
      <c r="E96" s="3" t="n">
        <v>41</v>
      </c>
      <c r="F96" s="3" t="s">
        <v>1138</v>
      </c>
    </row>
    <row r="97" customFormat="false" ht="15" hidden="false" customHeight="false" outlineLevel="0" collapsed="false">
      <c r="A97" s="3" t="s">
        <v>26</v>
      </c>
      <c r="B97" s="3" t="s">
        <v>27</v>
      </c>
      <c r="C97" s="3" t="s">
        <v>28</v>
      </c>
      <c r="D97" s="3" t="n">
        <v>150</v>
      </c>
      <c r="E97" s="3" t="n">
        <v>29</v>
      </c>
      <c r="F97" s="3" t="s">
        <v>1139</v>
      </c>
    </row>
    <row r="98" customFormat="false" ht="15" hidden="false" customHeight="false" outlineLevel="0" collapsed="false">
      <c r="A98" s="3" t="s">
        <v>116</v>
      </c>
      <c r="B98" s="3" t="s">
        <v>117</v>
      </c>
      <c r="C98" s="3" t="s">
        <v>118</v>
      </c>
      <c r="D98" s="3" t="n">
        <v>145</v>
      </c>
      <c r="E98" s="3" t="n">
        <v>18</v>
      </c>
      <c r="F98" s="3" t="s">
        <v>1140</v>
      </c>
    </row>
    <row r="99" customFormat="false" ht="15" hidden="false" customHeight="false" outlineLevel="0" collapsed="false">
      <c r="A99" s="3" t="s">
        <v>173</v>
      </c>
      <c r="B99" s="3" t="s">
        <v>174</v>
      </c>
      <c r="C99" s="3" t="s">
        <v>175</v>
      </c>
      <c r="D99" s="3" t="n">
        <v>142</v>
      </c>
      <c r="E99" s="3" t="n">
        <v>13</v>
      </c>
      <c r="F99" s="3" t="s">
        <v>1141</v>
      </c>
    </row>
    <row r="100" customFormat="false" ht="15" hidden="false" customHeight="false" outlineLevel="0" collapsed="false">
      <c r="A100" s="3" t="s">
        <v>249</v>
      </c>
      <c r="B100" s="3" t="s">
        <v>250</v>
      </c>
      <c r="C100" s="3" t="s">
        <v>251</v>
      </c>
      <c r="D100" s="3" t="n">
        <v>129</v>
      </c>
      <c r="E100" s="3" t="n">
        <v>22</v>
      </c>
      <c r="F100" s="3" t="s">
        <v>1142</v>
      </c>
    </row>
    <row r="101" customFormat="false" ht="15" hidden="false" customHeight="false" outlineLevel="0" collapsed="false">
      <c r="A101" s="3" t="s">
        <v>79</v>
      </c>
      <c r="B101" s="3" t="s">
        <v>80</v>
      </c>
      <c r="C101" s="3" t="s">
        <v>81</v>
      </c>
      <c r="D101" s="3" t="n">
        <v>127</v>
      </c>
      <c r="E101" s="3" t="n">
        <v>20</v>
      </c>
      <c r="F101" s="3" t="s">
        <v>1143</v>
      </c>
    </row>
    <row r="102" customFormat="false" ht="15" hidden="false" customHeight="false" outlineLevel="0" collapsed="false">
      <c r="A102" s="3" t="s">
        <v>89</v>
      </c>
      <c r="B102" s="3" t="s">
        <v>90</v>
      </c>
      <c r="C102" s="3" t="s">
        <v>91</v>
      </c>
      <c r="D102" s="3" t="n">
        <v>112</v>
      </c>
      <c r="E102" s="3" t="n">
        <v>21</v>
      </c>
      <c r="F102" s="3" t="s">
        <v>1144</v>
      </c>
    </row>
    <row r="103" customFormat="false" ht="15" hidden="false" customHeight="false" outlineLevel="0" collapsed="false">
      <c r="A103" s="3" t="s">
        <v>598</v>
      </c>
      <c r="B103" s="3" t="s">
        <v>599</v>
      </c>
      <c r="C103" s="3" t="s">
        <v>600</v>
      </c>
      <c r="D103" s="3" t="n">
        <v>112</v>
      </c>
      <c r="E103" s="3" t="n">
        <v>37</v>
      </c>
      <c r="F103" s="3" t="s">
        <v>1145</v>
      </c>
    </row>
    <row r="104" customFormat="false" ht="15" hidden="false" customHeight="false" outlineLevel="0" collapsed="false">
      <c r="A104" s="3" t="s">
        <v>186</v>
      </c>
      <c r="B104" s="3" t="s">
        <v>187</v>
      </c>
      <c r="C104" s="3" t="s">
        <v>188</v>
      </c>
      <c r="D104" s="3" t="n">
        <v>112</v>
      </c>
      <c r="E104" s="3" t="n">
        <v>1</v>
      </c>
      <c r="F104" s="3" t="s">
        <v>1146</v>
      </c>
    </row>
    <row r="105" customFormat="false" ht="15" hidden="false" customHeight="false" outlineLevel="0" collapsed="false">
      <c r="A105" s="3" t="s">
        <v>511</v>
      </c>
      <c r="B105" s="3" t="s">
        <v>512</v>
      </c>
      <c r="C105" s="3" t="s">
        <v>513</v>
      </c>
      <c r="D105" s="3" t="n">
        <v>105</v>
      </c>
      <c r="E105" s="3" t="n">
        <v>1</v>
      </c>
      <c r="F105" s="3" t="s">
        <v>1147</v>
      </c>
    </row>
    <row r="106" customFormat="false" ht="15" hidden="false" customHeight="false" outlineLevel="0" collapsed="false">
      <c r="A106" s="3" t="s">
        <v>264</v>
      </c>
      <c r="B106" s="3" t="s">
        <v>265</v>
      </c>
      <c r="C106" s="3" t="s">
        <v>266</v>
      </c>
      <c r="D106" s="3" t="n">
        <v>98</v>
      </c>
      <c r="E106" s="3" t="n">
        <v>10</v>
      </c>
      <c r="F106" s="3" t="s">
        <v>1148</v>
      </c>
    </row>
    <row r="107" customFormat="false" ht="15" hidden="false" customHeight="false" outlineLevel="0" collapsed="false">
      <c r="A107" s="3" t="s">
        <v>489</v>
      </c>
      <c r="B107" s="3" t="s">
        <v>490</v>
      </c>
      <c r="C107" s="3" t="s">
        <v>491</v>
      </c>
      <c r="D107" s="3" t="n">
        <v>93</v>
      </c>
      <c r="E107" s="3" t="n">
        <v>1</v>
      </c>
      <c r="F107" s="3" t="s">
        <v>1149</v>
      </c>
    </row>
    <row r="108" customFormat="false" ht="15" hidden="false" customHeight="false" outlineLevel="0" collapsed="false">
      <c r="A108" s="3" t="s">
        <v>682</v>
      </c>
      <c r="B108" s="3" t="s">
        <v>683</v>
      </c>
      <c r="C108" s="3" t="s">
        <v>684</v>
      </c>
      <c r="D108" s="3" t="n">
        <v>93</v>
      </c>
      <c r="E108" s="3" t="n">
        <v>1</v>
      </c>
      <c r="F108" s="3" t="s">
        <v>1149</v>
      </c>
    </row>
    <row r="109" customFormat="false" ht="15" hidden="false" customHeight="false" outlineLevel="0" collapsed="false">
      <c r="A109" s="3" t="s">
        <v>201</v>
      </c>
      <c r="B109" s="3" t="s">
        <v>202</v>
      </c>
      <c r="C109" s="3" t="s">
        <v>203</v>
      </c>
      <c r="D109" s="3" t="n">
        <v>84</v>
      </c>
      <c r="E109" s="3" t="n">
        <v>12</v>
      </c>
      <c r="F109" s="3" t="s">
        <v>1150</v>
      </c>
    </row>
    <row r="110" customFormat="false" ht="15" hidden="false" customHeight="false" outlineLevel="0" collapsed="false">
      <c r="A110" s="3" t="s">
        <v>128</v>
      </c>
      <c r="B110" s="3" t="s">
        <v>129</v>
      </c>
      <c r="C110" s="3" t="s">
        <v>130</v>
      </c>
      <c r="D110" s="3" t="n">
        <v>82</v>
      </c>
      <c r="E110" s="3" t="n">
        <v>27</v>
      </c>
      <c r="F110" s="3" t="s">
        <v>1151</v>
      </c>
    </row>
    <row r="111" customFormat="false" ht="15" hidden="false" customHeight="false" outlineLevel="0" collapsed="false">
      <c r="A111" s="3" t="s">
        <v>207</v>
      </c>
      <c r="B111" s="3" t="s">
        <v>208</v>
      </c>
      <c r="C111" s="3" t="s">
        <v>209</v>
      </c>
      <c r="D111" s="3" t="n">
        <v>77</v>
      </c>
      <c r="E111" s="3" t="n">
        <v>24</v>
      </c>
      <c r="F111" s="3" t="s">
        <v>1152</v>
      </c>
    </row>
    <row r="112" customFormat="false" ht="15" hidden="false" customHeight="false" outlineLevel="0" collapsed="false">
      <c r="A112" s="3" t="s">
        <v>50</v>
      </c>
      <c r="B112" s="3" t="s">
        <v>51</v>
      </c>
      <c r="C112" s="3" t="s">
        <v>52</v>
      </c>
      <c r="D112" s="3" t="n">
        <v>70</v>
      </c>
      <c r="E112" s="3" t="n">
        <v>22</v>
      </c>
      <c r="F112" s="3" t="s">
        <v>1153</v>
      </c>
    </row>
    <row r="113" customFormat="false" ht="15" hidden="false" customHeight="false" outlineLevel="0" collapsed="false">
      <c r="A113" s="3" t="s">
        <v>714</v>
      </c>
      <c r="B113" s="3" t="s">
        <v>715</v>
      </c>
      <c r="C113" s="3" t="s">
        <v>716</v>
      </c>
      <c r="D113" s="3" t="n">
        <v>68</v>
      </c>
      <c r="E113" s="3" t="n">
        <v>10</v>
      </c>
      <c r="F113" s="3" t="s">
        <v>1154</v>
      </c>
    </row>
    <row r="114" customFormat="false" ht="15" hidden="false" customHeight="false" outlineLevel="0" collapsed="false">
      <c r="A114" s="3" t="s">
        <v>670</v>
      </c>
      <c r="B114" s="3" t="s">
        <v>671</v>
      </c>
      <c r="C114" s="3" t="s">
        <v>672</v>
      </c>
      <c r="D114" s="3" t="n">
        <v>67</v>
      </c>
      <c r="E114" s="3" t="n">
        <v>1</v>
      </c>
      <c r="F114" s="3" t="s">
        <v>1155</v>
      </c>
    </row>
    <row r="115" customFormat="false" ht="15" hidden="false" customHeight="false" outlineLevel="0" collapsed="false">
      <c r="A115" s="3" t="s">
        <v>83</v>
      </c>
      <c r="B115" s="3" t="s">
        <v>84</v>
      </c>
      <c r="C115" s="3" t="s">
        <v>85</v>
      </c>
      <c r="D115" s="3" t="n">
        <v>67</v>
      </c>
      <c r="E115" s="3" t="n">
        <v>23</v>
      </c>
      <c r="F115" s="3" t="s">
        <v>1156</v>
      </c>
    </row>
    <row r="116" customFormat="false" ht="15" hidden="false" customHeight="false" outlineLevel="0" collapsed="false">
      <c r="A116" s="3" t="s">
        <v>228</v>
      </c>
      <c r="B116" s="3" t="s">
        <v>229</v>
      </c>
      <c r="C116" s="3" t="s">
        <v>230</v>
      </c>
      <c r="D116" s="3" t="n">
        <v>65</v>
      </c>
      <c r="E116" s="3" t="n">
        <v>28</v>
      </c>
      <c r="F116" s="3" t="s">
        <v>1157</v>
      </c>
    </row>
    <row r="117" customFormat="false" ht="15" hidden="false" customHeight="false" outlineLevel="0" collapsed="false">
      <c r="A117" s="3" t="s">
        <v>601</v>
      </c>
      <c r="B117" s="3" t="s">
        <v>602</v>
      </c>
      <c r="C117" s="3" t="s">
        <v>603</v>
      </c>
      <c r="D117" s="3" t="n">
        <v>58</v>
      </c>
      <c r="E117" s="3" t="n">
        <v>25</v>
      </c>
      <c r="F117" s="3" t="s">
        <v>1158</v>
      </c>
    </row>
    <row r="118" customFormat="false" ht="15" hidden="false" customHeight="false" outlineLevel="0" collapsed="false">
      <c r="A118" s="3" t="s">
        <v>261</v>
      </c>
      <c r="B118" s="3" t="s">
        <v>262</v>
      </c>
      <c r="C118" s="3" t="s">
        <v>263</v>
      </c>
      <c r="D118" s="3" t="n">
        <v>57</v>
      </c>
      <c r="E118" s="3" t="n">
        <v>7</v>
      </c>
      <c r="F118" s="3" t="s">
        <v>1159</v>
      </c>
    </row>
    <row r="119" customFormat="false" ht="15" hidden="false" customHeight="false" outlineLevel="0" collapsed="false">
      <c r="A119" s="3" t="s">
        <v>498</v>
      </c>
      <c r="B119" s="3" t="s">
        <v>499</v>
      </c>
      <c r="C119" s="3" t="s">
        <v>500</v>
      </c>
      <c r="D119" s="3" t="n">
        <v>54</v>
      </c>
      <c r="E119" s="3" t="n">
        <v>1</v>
      </c>
      <c r="F119" s="3" t="s">
        <v>1160</v>
      </c>
    </row>
    <row r="120" customFormat="false" ht="15" hidden="false" customHeight="false" outlineLevel="0" collapsed="false">
      <c r="A120" s="3" t="s">
        <v>550</v>
      </c>
      <c r="B120" s="3" t="s">
        <v>551</v>
      </c>
      <c r="C120" s="3" t="s">
        <v>552</v>
      </c>
      <c r="D120" s="3" t="n">
        <v>52</v>
      </c>
      <c r="E120" s="3" t="n">
        <v>8</v>
      </c>
      <c r="F120" s="3" t="s">
        <v>1161</v>
      </c>
    </row>
    <row r="121" customFormat="false" ht="15" hidden="false" customHeight="false" outlineLevel="0" collapsed="false">
      <c r="A121" s="3" t="s">
        <v>252</v>
      </c>
      <c r="B121" s="3" t="s">
        <v>253</v>
      </c>
      <c r="C121" s="3" t="s">
        <v>254</v>
      </c>
      <c r="D121" s="3" t="n">
        <v>52</v>
      </c>
      <c r="E121" s="3" t="n">
        <v>9</v>
      </c>
      <c r="F121" s="3" t="s">
        <v>1162</v>
      </c>
    </row>
    <row r="122" customFormat="false" ht="15" hidden="false" customHeight="false" outlineLevel="0" collapsed="false">
      <c r="A122" s="3" t="s">
        <v>210</v>
      </c>
      <c r="B122" s="3" t="s">
        <v>211</v>
      </c>
      <c r="C122" s="3" t="s">
        <v>212</v>
      </c>
      <c r="D122" s="3" t="n">
        <v>50</v>
      </c>
      <c r="E122" s="3" t="n">
        <v>21</v>
      </c>
      <c r="F122" s="3" t="s">
        <v>1163</v>
      </c>
    </row>
    <row r="123" customFormat="false" ht="15" hidden="false" customHeight="false" outlineLevel="0" collapsed="false">
      <c r="A123" s="3" t="s">
        <v>113</v>
      </c>
      <c r="B123" s="3" t="s">
        <v>114</v>
      </c>
      <c r="C123" s="3" t="s">
        <v>115</v>
      </c>
      <c r="D123" s="3" t="n">
        <v>50</v>
      </c>
      <c r="E123" s="3" t="n">
        <v>23</v>
      </c>
      <c r="F123" s="3" t="s">
        <v>1164</v>
      </c>
    </row>
    <row r="124" customFormat="false" ht="15" hidden="false" customHeight="false" outlineLevel="0" collapsed="false">
      <c r="A124" s="3" t="s">
        <v>216</v>
      </c>
      <c r="B124" s="3" t="s">
        <v>217</v>
      </c>
      <c r="C124" s="3" t="s">
        <v>218</v>
      </c>
      <c r="D124" s="3" t="n">
        <v>48</v>
      </c>
      <c r="E124" s="3" t="n">
        <v>5</v>
      </c>
      <c r="F124" s="3" t="s">
        <v>1165</v>
      </c>
    </row>
    <row r="125" customFormat="false" ht="15" hidden="false" customHeight="false" outlineLevel="0" collapsed="false">
      <c r="A125" s="3" t="s">
        <v>47</v>
      </c>
      <c r="B125" s="3" t="s">
        <v>48</v>
      </c>
      <c r="C125" s="3" t="s">
        <v>49</v>
      </c>
      <c r="D125" s="3" t="n">
        <v>48</v>
      </c>
      <c r="E125" s="3" t="n">
        <v>8</v>
      </c>
      <c r="F125" s="3" t="s">
        <v>1166</v>
      </c>
    </row>
    <row r="126" customFormat="false" ht="15" hidden="false" customHeight="false" outlineLevel="0" collapsed="false">
      <c r="A126" s="3" t="s">
        <v>700</v>
      </c>
      <c r="B126" s="3" t="s">
        <v>512</v>
      </c>
      <c r="C126" s="3" t="s">
        <v>701</v>
      </c>
      <c r="D126" s="3" t="n">
        <v>46</v>
      </c>
      <c r="E126" s="3" t="n">
        <v>25</v>
      </c>
      <c r="F126" s="3" t="s">
        <v>1167</v>
      </c>
    </row>
    <row r="127" customFormat="false" ht="15" hidden="false" customHeight="false" outlineLevel="0" collapsed="false">
      <c r="A127" s="3" t="s">
        <v>595</v>
      </c>
      <c r="B127" s="3" t="s">
        <v>596</v>
      </c>
      <c r="C127" s="3" t="s">
        <v>597</v>
      </c>
      <c r="D127" s="3" t="n">
        <v>45</v>
      </c>
      <c r="E127" s="3" t="n">
        <v>18</v>
      </c>
      <c r="F127" s="3" t="s">
        <v>1168</v>
      </c>
    </row>
    <row r="128" customFormat="false" ht="15" hidden="false" customHeight="false" outlineLevel="0" collapsed="false">
      <c r="A128" s="3" t="s">
        <v>240</v>
      </c>
      <c r="B128" s="3" t="s">
        <v>241</v>
      </c>
      <c r="C128" s="3" t="s">
        <v>242</v>
      </c>
      <c r="D128" s="3" t="n">
        <v>43</v>
      </c>
      <c r="E128" s="3" t="n">
        <v>19</v>
      </c>
      <c r="F128" s="3" t="s">
        <v>1169</v>
      </c>
    </row>
    <row r="129" customFormat="false" ht="15" hidden="false" customHeight="false" outlineLevel="0" collapsed="false">
      <c r="A129" s="3" t="s">
        <v>559</v>
      </c>
      <c r="B129" s="3" t="s">
        <v>560</v>
      </c>
      <c r="C129" s="3" t="s">
        <v>561</v>
      </c>
      <c r="D129" s="3" t="n">
        <v>43</v>
      </c>
      <c r="E129" s="3" t="n">
        <v>2</v>
      </c>
      <c r="F129" s="3" t="s">
        <v>1170</v>
      </c>
    </row>
    <row r="130" customFormat="false" ht="15" hidden="false" customHeight="false" outlineLevel="0" collapsed="false">
      <c r="A130" s="3" t="s">
        <v>723</v>
      </c>
      <c r="B130" s="3" t="s">
        <v>724</v>
      </c>
      <c r="C130" s="3" t="s">
        <v>725</v>
      </c>
      <c r="D130" s="3" t="n">
        <v>42</v>
      </c>
      <c r="E130" s="3" t="n">
        <v>23</v>
      </c>
      <c r="F130" s="3" t="s">
        <v>1171</v>
      </c>
    </row>
    <row r="131" customFormat="false" ht="15" hidden="false" customHeight="false" outlineLevel="0" collapsed="false">
      <c r="A131" s="3" t="s">
        <v>676</v>
      </c>
      <c r="B131" s="3" t="s">
        <v>677</v>
      </c>
      <c r="C131" s="3" t="s">
        <v>678</v>
      </c>
      <c r="D131" s="3" t="n">
        <v>41</v>
      </c>
      <c r="E131" s="3" t="n">
        <v>1</v>
      </c>
      <c r="F131" s="3" t="s">
        <v>1172</v>
      </c>
    </row>
    <row r="132" customFormat="false" ht="15" hidden="false" customHeight="false" outlineLevel="0" collapsed="false">
      <c r="A132" s="3" t="s">
        <v>158</v>
      </c>
      <c r="B132" s="3" t="s">
        <v>159</v>
      </c>
      <c r="C132" s="3" t="s">
        <v>160</v>
      </c>
      <c r="D132" s="3" t="n">
        <v>41</v>
      </c>
      <c r="E132" s="3" t="n">
        <v>20</v>
      </c>
      <c r="F132" s="3" t="s">
        <v>1173</v>
      </c>
    </row>
    <row r="133" customFormat="false" ht="15" hidden="false" customHeight="false" outlineLevel="0" collapsed="false">
      <c r="A133" s="3" t="s">
        <v>507</v>
      </c>
      <c r="B133" s="3" t="s">
        <v>508</v>
      </c>
      <c r="C133" s="3" t="s">
        <v>509</v>
      </c>
      <c r="D133" s="3" t="n">
        <v>41</v>
      </c>
      <c r="E133" s="3" t="n">
        <v>19</v>
      </c>
      <c r="F133" s="3" t="s">
        <v>1174</v>
      </c>
    </row>
    <row r="134" customFormat="false" ht="15" hidden="false" customHeight="false" outlineLevel="0" collapsed="false">
      <c r="A134" s="4" t="s">
        <v>520</v>
      </c>
      <c r="B134" s="4" t="s">
        <v>521</v>
      </c>
      <c r="C134" s="4" t="s">
        <v>522</v>
      </c>
      <c r="D134" s="4" t="n">
        <v>39</v>
      </c>
      <c r="E134" s="4" t="n">
        <v>5</v>
      </c>
      <c r="F134" s="4" t="s">
        <v>1175</v>
      </c>
    </row>
    <row r="135" customFormat="false" ht="15" hidden="false" customHeight="false" outlineLevel="0" collapsed="false">
      <c r="A135" s="3" t="s">
        <v>547</v>
      </c>
      <c r="B135" s="3" t="s">
        <v>548</v>
      </c>
      <c r="C135" s="3" t="s">
        <v>549</v>
      </c>
      <c r="D135" s="3" t="n">
        <v>38</v>
      </c>
      <c r="E135" s="3" t="n">
        <v>18</v>
      </c>
      <c r="F135" s="3" t="s">
        <v>1176</v>
      </c>
    </row>
    <row r="136" customFormat="false" ht="15" hidden="false" customHeight="false" outlineLevel="0" collapsed="false">
      <c r="A136" s="3" t="s">
        <v>36</v>
      </c>
      <c r="B136" s="3" t="s">
        <v>37</v>
      </c>
      <c r="C136" s="3" t="s">
        <v>38</v>
      </c>
      <c r="D136" s="3" t="n">
        <v>38</v>
      </c>
      <c r="E136" s="3" t="n">
        <v>13</v>
      </c>
      <c r="F136" s="3" t="s">
        <v>1177</v>
      </c>
    </row>
    <row r="137" customFormat="false" ht="15" hidden="false" customHeight="false" outlineLevel="0" collapsed="false">
      <c r="A137" s="3" t="s">
        <v>625</v>
      </c>
      <c r="B137" s="3" t="s">
        <v>626</v>
      </c>
      <c r="C137" s="3" t="s">
        <v>627</v>
      </c>
      <c r="D137" s="3" t="n">
        <v>35</v>
      </c>
      <c r="E137" s="3" t="n">
        <v>1</v>
      </c>
      <c r="F137" s="3" t="s">
        <v>1178</v>
      </c>
    </row>
    <row r="138" customFormat="false" ht="15" hidden="false" customHeight="false" outlineLevel="0" collapsed="false">
      <c r="A138" s="3" t="s">
        <v>664</v>
      </c>
      <c r="B138" s="3" t="s">
        <v>665</v>
      </c>
      <c r="C138" s="3" t="s">
        <v>666</v>
      </c>
      <c r="D138" s="3" t="n">
        <v>35</v>
      </c>
      <c r="E138" s="3" t="n">
        <v>22</v>
      </c>
      <c r="F138" s="3" t="s">
        <v>1179</v>
      </c>
    </row>
    <row r="139" customFormat="false" ht="15" hidden="false" customHeight="false" outlineLevel="0" collapsed="false">
      <c r="A139" s="3" t="s">
        <v>586</v>
      </c>
      <c r="B139" s="3" t="s">
        <v>587</v>
      </c>
      <c r="C139" s="3" t="s">
        <v>588</v>
      </c>
      <c r="D139" s="3" t="n">
        <v>35</v>
      </c>
      <c r="E139" s="3" t="n">
        <v>14</v>
      </c>
      <c r="F139" s="3" t="s">
        <v>1180</v>
      </c>
    </row>
    <row r="140" customFormat="false" ht="15" hidden="false" customHeight="false" outlineLevel="0" collapsed="false">
      <c r="A140" s="4" t="s">
        <v>170</v>
      </c>
      <c r="B140" s="4" t="s">
        <v>171</v>
      </c>
      <c r="C140" s="4" t="s">
        <v>172</v>
      </c>
      <c r="D140" s="4" t="n">
        <v>34</v>
      </c>
      <c r="E140" s="4" t="n">
        <v>10</v>
      </c>
      <c r="F140" s="4" t="s">
        <v>1181</v>
      </c>
    </row>
    <row r="141" customFormat="false" ht="15" hidden="false" customHeight="false" outlineLevel="0" collapsed="false">
      <c r="A141" s="3" t="s">
        <v>41</v>
      </c>
      <c r="B141" s="3" t="s">
        <v>42</v>
      </c>
      <c r="C141" s="3" t="s">
        <v>43</v>
      </c>
      <c r="D141" s="3" t="n">
        <v>34</v>
      </c>
      <c r="E141" s="3" t="n">
        <v>5</v>
      </c>
      <c r="F141" s="3" t="s">
        <v>1182</v>
      </c>
    </row>
    <row r="142" customFormat="false" ht="15" hidden="false" customHeight="false" outlineLevel="0" collapsed="false">
      <c r="A142" s="3" t="s">
        <v>1183</v>
      </c>
      <c r="B142" s="3" t="s">
        <v>1184</v>
      </c>
      <c r="C142" s="3" t="s">
        <v>1185</v>
      </c>
      <c r="D142" s="3" t="n">
        <v>34</v>
      </c>
      <c r="E142" s="3" t="n">
        <v>16</v>
      </c>
      <c r="F142" s="3" t="s">
        <v>1186</v>
      </c>
    </row>
    <row r="143" customFormat="false" ht="15" hidden="false" customHeight="false" outlineLevel="0" collapsed="false">
      <c r="A143" s="3" t="s">
        <v>134</v>
      </c>
      <c r="B143" s="3" t="s">
        <v>135</v>
      </c>
      <c r="C143" s="3" t="s">
        <v>136</v>
      </c>
      <c r="D143" s="3" t="n">
        <v>34</v>
      </c>
      <c r="E143" s="3" t="n">
        <v>13</v>
      </c>
      <c r="F143" s="3" t="s">
        <v>1187</v>
      </c>
    </row>
    <row r="144" customFormat="false" ht="15" hidden="false" customHeight="false" outlineLevel="0" collapsed="false">
      <c r="A144" s="3" t="s">
        <v>679</v>
      </c>
      <c r="B144" s="3" t="s">
        <v>680</v>
      </c>
      <c r="C144" s="3" t="s">
        <v>681</v>
      </c>
      <c r="D144" s="3" t="n">
        <v>33</v>
      </c>
      <c r="E144" s="3" t="n">
        <v>1</v>
      </c>
      <c r="F144" s="3" t="s">
        <v>1188</v>
      </c>
    </row>
    <row r="145" customFormat="false" ht="15" hidden="false" customHeight="false" outlineLevel="0" collapsed="false">
      <c r="A145" s="3" t="s">
        <v>738</v>
      </c>
      <c r="B145" s="3" t="s">
        <v>739</v>
      </c>
      <c r="C145" s="3" t="s">
        <v>740</v>
      </c>
      <c r="D145" s="3" t="n">
        <v>32</v>
      </c>
      <c r="E145" s="3" t="n">
        <v>16</v>
      </c>
      <c r="F145" s="3" t="s">
        <v>1189</v>
      </c>
    </row>
    <row r="146" customFormat="false" ht="15" hidden="false" customHeight="false" outlineLevel="0" collapsed="false">
      <c r="A146" s="3" t="s">
        <v>110</v>
      </c>
      <c r="B146" s="3" t="s">
        <v>111</v>
      </c>
      <c r="C146" s="3" t="s">
        <v>112</v>
      </c>
      <c r="D146" s="3" t="n">
        <v>32</v>
      </c>
      <c r="E146" s="3" t="n">
        <v>15</v>
      </c>
      <c r="F146" s="3" t="s">
        <v>1190</v>
      </c>
    </row>
    <row r="147" customFormat="false" ht="15" hidden="false" customHeight="false" outlineLevel="0" collapsed="false">
      <c r="A147" s="3" t="s">
        <v>464</v>
      </c>
      <c r="B147" s="3" t="s">
        <v>465</v>
      </c>
      <c r="C147" s="3" t="s">
        <v>466</v>
      </c>
      <c r="D147" s="3" t="n">
        <v>32</v>
      </c>
      <c r="E147" s="3" t="n">
        <v>1</v>
      </c>
      <c r="F147" s="3" t="s">
        <v>1191</v>
      </c>
    </row>
    <row r="148" customFormat="false" ht="15" hidden="false" customHeight="false" outlineLevel="0" collapsed="false">
      <c r="A148" s="4" t="s">
        <v>291</v>
      </c>
      <c r="B148" s="4" t="s">
        <v>292</v>
      </c>
      <c r="C148" s="4" t="s">
        <v>293</v>
      </c>
      <c r="D148" s="4" t="n">
        <v>32</v>
      </c>
      <c r="E148" s="4" t="n">
        <v>5</v>
      </c>
      <c r="F148" s="4" t="s">
        <v>1192</v>
      </c>
    </row>
    <row r="149" customFormat="false" ht="15" hidden="false" customHeight="false" outlineLevel="0" collapsed="false">
      <c r="A149" s="3" t="s">
        <v>119</v>
      </c>
      <c r="B149" s="3" t="s">
        <v>120</v>
      </c>
      <c r="C149" s="3" t="s">
        <v>121</v>
      </c>
      <c r="D149" s="3" t="n">
        <v>30</v>
      </c>
      <c r="E149" s="3" t="n">
        <v>19</v>
      </c>
      <c r="F149" s="3" t="s">
        <v>1193</v>
      </c>
    </row>
    <row r="150" customFormat="false" ht="15" hidden="false" customHeight="false" outlineLevel="0" collapsed="false">
      <c r="A150" s="3" t="s">
        <v>763</v>
      </c>
      <c r="B150" s="3" t="s">
        <v>764</v>
      </c>
      <c r="C150" s="3" t="s">
        <v>765</v>
      </c>
      <c r="D150" s="3" t="n">
        <v>30</v>
      </c>
      <c r="E150" s="3" t="n">
        <v>1</v>
      </c>
      <c r="F150" s="3" t="s">
        <v>1194</v>
      </c>
    </row>
    <row r="151" customFormat="false" ht="15" hidden="false" customHeight="false" outlineLevel="0" collapsed="false">
      <c r="A151" s="4" t="s">
        <v>219</v>
      </c>
      <c r="B151" s="4" t="s">
        <v>220</v>
      </c>
      <c r="C151" s="4" t="s">
        <v>221</v>
      </c>
      <c r="D151" s="4" t="n">
        <v>30</v>
      </c>
      <c r="E151" s="4" t="n">
        <v>3</v>
      </c>
      <c r="F151" s="4" t="s">
        <v>1195</v>
      </c>
    </row>
    <row r="152" customFormat="false" ht="15" hidden="false" customHeight="false" outlineLevel="0" collapsed="false">
      <c r="A152" s="3" t="s">
        <v>529</v>
      </c>
      <c r="B152" s="3" t="s">
        <v>530</v>
      </c>
      <c r="C152" s="3" t="s">
        <v>531</v>
      </c>
      <c r="D152" s="3" t="n">
        <v>29</v>
      </c>
      <c r="E152" s="3" t="n">
        <v>8</v>
      </c>
      <c r="F152" s="3" t="s">
        <v>1196</v>
      </c>
    </row>
    <row r="153" customFormat="false" ht="15" hidden="false" customHeight="false" outlineLevel="0" collapsed="false">
      <c r="A153" s="3" t="s">
        <v>143</v>
      </c>
      <c r="B153" s="3" t="s">
        <v>144</v>
      </c>
      <c r="C153" s="3" t="s">
        <v>145</v>
      </c>
      <c r="D153" s="3" t="n">
        <v>28</v>
      </c>
      <c r="E153" s="3" t="n">
        <v>3</v>
      </c>
      <c r="F153" s="3" t="s">
        <v>1197</v>
      </c>
    </row>
    <row r="154" customFormat="false" ht="15" hidden="false" customHeight="false" outlineLevel="0" collapsed="false">
      <c r="A154" s="3" t="s">
        <v>631</v>
      </c>
      <c r="B154" s="3" t="s">
        <v>632</v>
      </c>
      <c r="C154" s="3" t="s">
        <v>633</v>
      </c>
      <c r="D154" s="3" t="n">
        <v>28</v>
      </c>
      <c r="E154" s="3" t="n">
        <v>3</v>
      </c>
      <c r="F154" s="3" t="s">
        <v>1198</v>
      </c>
    </row>
    <row r="155" customFormat="false" ht="15" hidden="false" customHeight="false" outlineLevel="0" collapsed="false">
      <c r="A155" s="3" t="s">
        <v>458</v>
      </c>
      <c r="B155" s="3" t="s">
        <v>459</v>
      </c>
      <c r="C155" s="3" t="s">
        <v>460</v>
      </c>
      <c r="D155" s="3" t="n">
        <v>27</v>
      </c>
      <c r="E155" s="3" t="n">
        <v>17</v>
      </c>
      <c r="F155" s="3" t="s">
        <v>1199</v>
      </c>
    </row>
    <row r="156" customFormat="false" ht="15" hidden="false" customHeight="false" outlineLevel="0" collapsed="false">
      <c r="A156" s="3" t="s">
        <v>1200</v>
      </c>
      <c r="B156" s="3" t="s">
        <v>1201</v>
      </c>
      <c r="C156" s="3" t="s">
        <v>1202</v>
      </c>
      <c r="D156" s="3" t="n">
        <v>27</v>
      </c>
      <c r="E156" s="3" t="n">
        <v>13</v>
      </c>
      <c r="F156" s="3" t="s">
        <v>1203</v>
      </c>
    </row>
    <row r="157" customFormat="false" ht="15" hidden="false" customHeight="false" outlineLevel="0" collapsed="false">
      <c r="A157" s="3" t="s">
        <v>1204</v>
      </c>
      <c r="B157" s="3" t="s">
        <v>1205</v>
      </c>
      <c r="C157" s="3" t="s">
        <v>1206</v>
      </c>
      <c r="D157" s="3" t="n">
        <v>26</v>
      </c>
      <c r="E157" s="3" t="n">
        <v>8</v>
      </c>
      <c r="F157" s="3" t="s">
        <v>1207</v>
      </c>
    </row>
    <row r="158" customFormat="false" ht="15" hidden="false" customHeight="false" outlineLevel="0" collapsed="false">
      <c r="A158" s="3" t="s">
        <v>619</v>
      </c>
      <c r="B158" s="3" t="s">
        <v>620</v>
      </c>
      <c r="C158" s="3" t="s">
        <v>621</v>
      </c>
      <c r="D158" s="3" t="n">
        <v>26</v>
      </c>
      <c r="E158" s="3" t="n">
        <v>1</v>
      </c>
      <c r="F158" s="3" t="s">
        <v>1208</v>
      </c>
    </row>
    <row r="159" customFormat="false" ht="15" hidden="false" customHeight="false" outlineLevel="0" collapsed="false">
      <c r="A159" s="3" t="s">
        <v>610</v>
      </c>
      <c r="B159" s="3" t="s">
        <v>611</v>
      </c>
      <c r="C159" s="3" t="s">
        <v>612</v>
      </c>
      <c r="D159" s="3" t="n">
        <v>26</v>
      </c>
      <c r="E159" s="3" t="n">
        <v>4</v>
      </c>
      <c r="F159" s="3" t="s">
        <v>1209</v>
      </c>
    </row>
    <row r="160" customFormat="false" ht="15" hidden="false" customHeight="false" outlineLevel="0" collapsed="false">
      <c r="A160" s="3" t="s">
        <v>514</v>
      </c>
      <c r="B160" s="3" t="s">
        <v>515</v>
      </c>
      <c r="C160" s="3" t="s">
        <v>516</v>
      </c>
      <c r="D160" s="3" t="n">
        <v>26</v>
      </c>
      <c r="E160" s="3" t="n">
        <v>8</v>
      </c>
      <c r="F160" s="3" t="s">
        <v>1210</v>
      </c>
    </row>
    <row r="161" customFormat="false" ht="15" hidden="false" customHeight="false" outlineLevel="0" collapsed="false">
      <c r="A161" s="3" t="s">
        <v>580</v>
      </c>
      <c r="B161" s="3" t="s">
        <v>581</v>
      </c>
      <c r="C161" s="3" t="s">
        <v>582</v>
      </c>
      <c r="D161" s="3" t="n">
        <v>24</v>
      </c>
      <c r="E161" s="3" t="n">
        <v>3</v>
      </c>
      <c r="F161" s="3" t="s">
        <v>1211</v>
      </c>
    </row>
    <row r="162" customFormat="false" ht="15" hidden="false" customHeight="false" outlineLevel="0" collapsed="false">
      <c r="A162" s="3" t="s">
        <v>231</v>
      </c>
      <c r="B162" s="3" t="s">
        <v>232</v>
      </c>
      <c r="C162" s="3" t="s">
        <v>233</v>
      </c>
      <c r="D162" s="3" t="n">
        <v>23</v>
      </c>
      <c r="E162" s="3" t="n">
        <v>11</v>
      </c>
      <c r="F162" s="3" t="s">
        <v>1212</v>
      </c>
    </row>
    <row r="163" customFormat="false" ht="15" hidden="false" customHeight="false" outlineLevel="0" collapsed="false">
      <c r="A163" s="3" t="s">
        <v>504</v>
      </c>
      <c r="B163" s="3" t="s">
        <v>505</v>
      </c>
      <c r="C163" s="3" t="s">
        <v>506</v>
      </c>
      <c r="D163" s="3" t="n">
        <v>23</v>
      </c>
      <c r="E163" s="3" t="n">
        <v>17</v>
      </c>
      <c r="F163" s="3" t="s">
        <v>1213</v>
      </c>
    </row>
    <row r="164" customFormat="false" ht="15" hidden="false" customHeight="false" outlineLevel="0" collapsed="false">
      <c r="A164" s="3" t="s">
        <v>708</v>
      </c>
      <c r="B164" s="3" t="s">
        <v>709</v>
      </c>
      <c r="C164" s="3" t="s">
        <v>710</v>
      </c>
      <c r="D164" s="3" t="n">
        <v>23</v>
      </c>
      <c r="E164" s="3" t="n">
        <v>3</v>
      </c>
      <c r="F164" s="3" t="s">
        <v>1214</v>
      </c>
    </row>
    <row r="165" customFormat="false" ht="15" hidden="false" customHeight="false" outlineLevel="0" collapsed="false">
      <c r="A165" s="3" t="s">
        <v>523</v>
      </c>
      <c r="B165" s="3" t="s">
        <v>524</v>
      </c>
      <c r="C165" s="3" t="s">
        <v>525</v>
      </c>
      <c r="D165" s="3" t="n">
        <v>23</v>
      </c>
      <c r="E165" s="3" t="n">
        <v>8</v>
      </c>
      <c r="F165" s="3" t="s">
        <v>1215</v>
      </c>
    </row>
    <row r="166" customFormat="false" ht="15" hidden="false" customHeight="false" outlineLevel="0" collapsed="false">
      <c r="A166" s="4" t="s">
        <v>574</v>
      </c>
      <c r="B166" s="4" t="s">
        <v>575</v>
      </c>
      <c r="C166" s="4" t="s">
        <v>576</v>
      </c>
      <c r="D166" s="4" t="n">
        <v>22</v>
      </c>
      <c r="E166" s="4" t="n">
        <v>9</v>
      </c>
      <c r="F166" s="4" t="s">
        <v>1216</v>
      </c>
    </row>
    <row r="167" customFormat="false" ht="15" hidden="false" customHeight="false" outlineLevel="0" collapsed="false">
      <c r="A167" s="3" t="s">
        <v>661</v>
      </c>
      <c r="B167" s="3" t="s">
        <v>662</v>
      </c>
      <c r="C167" s="3" t="s">
        <v>663</v>
      </c>
      <c r="D167" s="3" t="n">
        <v>22</v>
      </c>
      <c r="E167" s="3" t="n">
        <v>18</v>
      </c>
      <c r="F167" s="3" t="s">
        <v>1217</v>
      </c>
    </row>
    <row r="168" customFormat="false" ht="15" hidden="false" customHeight="false" outlineLevel="0" collapsed="false">
      <c r="A168" s="3" t="s">
        <v>1218</v>
      </c>
      <c r="B168" s="3" t="s">
        <v>1219</v>
      </c>
      <c r="C168" s="3" t="s">
        <v>1220</v>
      </c>
      <c r="D168" s="3" t="n">
        <v>22</v>
      </c>
      <c r="E168" s="3" t="n">
        <v>17</v>
      </c>
      <c r="F168" s="3" t="s">
        <v>1221</v>
      </c>
    </row>
    <row r="169" customFormat="false" ht="15" hidden="false" customHeight="false" outlineLevel="0" collapsed="false">
      <c r="A169" s="3" t="s">
        <v>98</v>
      </c>
      <c r="B169" s="3" t="s">
        <v>99</v>
      </c>
      <c r="C169" s="3" t="s">
        <v>100</v>
      </c>
      <c r="D169" s="3" t="n">
        <v>22</v>
      </c>
      <c r="E169" s="3" t="n">
        <v>5</v>
      </c>
      <c r="F169" s="3" t="s">
        <v>1222</v>
      </c>
    </row>
    <row r="170" customFormat="false" ht="15" hidden="false" customHeight="false" outlineLevel="0" collapsed="false">
      <c r="A170" s="3" t="s">
        <v>553</v>
      </c>
      <c r="B170" s="3" t="s">
        <v>554</v>
      </c>
      <c r="C170" s="3" t="s">
        <v>555</v>
      </c>
      <c r="D170" s="3" t="n">
        <v>22</v>
      </c>
      <c r="E170" s="3" t="n">
        <v>17</v>
      </c>
      <c r="F170" s="3" t="s">
        <v>1223</v>
      </c>
    </row>
    <row r="171" customFormat="false" ht="15" hidden="false" customHeight="false" outlineLevel="0" collapsed="false">
      <c r="A171" s="4" t="s">
        <v>729</v>
      </c>
      <c r="B171" s="4" t="s">
        <v>730</v>
      </c>
      <c r="C171" s="4" t="s">
        <v>731</v>
      </c>
      <c r="D171" s="4" t="n">
        <v>22</v>
      </c>
      <c r="E171" s="4" t="n">
        <v>7</v>
      </c>
      <c r="F171" s="4" t="s">
        <v>1224</v>
      </c>
    </row>
    <row r="172" customFormat="false" ht="15" hidden="false" customHeight="false" outlineLevel="0" collapsed="false">
      <c r="A172" s="4" t="s">
        <v>717</v>
      </c>
      <c r="B172" s="4" t="s">
        <v>718</v>
      </c>
      <c r="C172" s="4" t="s">
        <v>719</v>
      </c>
      <c r="D172" s="4" t="n">
        <v>21</v>
      </c>
      <c r="E172" s="4" t="n">
        <v>5</v>
      </c>
      <c r="F172" s="4" t="s">
        <v>1225</v>
      </c>
    </row>
    <row r="173" customFormat="false" ht="15" hidden="false" customHeight="false" outlineLevel="0" collapsed="false">
      <c r="A173" s="3" t="s">
        <v>769</v>
      </c>
      <c r="B173" s="3" t="s">
        <v>770</v>
      </c>
      <c r="C173" s="3" t="s">
        <v>771</v>
      </c>
      <c r="D173" s="3" t="n">
        <v>21</v>
      </c>
      <c r="E173" s="3" t="n">
        <v>3</v>
      </c>
      <c r="F173" s="3" t="s">
        <v>1226</v>
      </c>
    </row>
    <row r="174" customFormat="false" ht="15" hidden="false" customHeight="false" outlineLevel="0" collapsed="false">
      <c r="A174" s="3" t="s">
        <v>751</v>
      </c>
      <c r="B174" s="3" t="s">
        <v>752</v>
      </c>
      <c r="C174" s="3" t="s">
        <v>753</v>
      </c>
      <c r="D174" s="3" t="n">
        <v>21</v>
      </c>
      <c r="E174" s="3" t="n">
        <v>16</v>
      </c>
      <c r="F174" s="3" t="s">
        <v>1227</v>
      </c>
    </row>
    <row r="175" customFormat="false" ht="15" hidden="false" customHeight="false" outlineLevel="0" collapsed="false">
      <c r="A175" s="3" t="s">
        <v>1228</v>
      </c>
      <c r="B175" s="3" t="s">
        <v>1229</v>
      </c>
      <c r="C175" s="3" t="s">
        <v>1230</v>
      </c>
      <c r="D175" s="3" t="n">
        <v>21</v>
      </c>
      <c r="E175" s="3" t="n">
        <v>16</v>
      </c>
      <c r="F175" s="3" t="s">
        <v>1231</v>
      </c>
    </row>
    <row r="176" customFormat="false" ht="15" hidden="false" customHeight="false" outlineLevel="0" collapsed="false">
      <c r="A176" s="3" t="s">
        <v>702</v>
      </c>
      <c r="B176" s="3" t="s">
        <v>703</v>
      </c>
      <c r="C176" s="3" t="s">
        <v>704</v>
      </c>
      <c r="D176" s="3" t="n">
        <v>21</v>
      </c>
      <c r="E176" s="3" t="n">
        <v>17</v>
      </c>
      <c r="F176" s="3" t="s">
        <v>1232</v>
      </c>
    </row>
    <row r="177" customFormat="false" ht="15" hidden="false" customHeight="false" outlineLevel="0" collapsed="false">
      <c r="A177" s="3" t="s">
        <v>1233</v>
      </c>
      <c r="B177" s="3" t="s">
        <v>1234</v>
      </c>
      <c r="C177" s="3" t="s">
        <v>1235</v>
      </c>
      <c r="D177" s="3" t="n">
        <v>21</v>
      </c>
      <c r="E177" s="3" t="n">
        <v>17</v>
      </c>
      <c r="F177" s="3" t="s">
        <v>1236</v>
      </c>
    </row>
    <row r="178" customFormat="false" ht="15" hidden="false" customHeight="false" outlineLevel="0" collapsed="false">
      <c r="A178" s="3" t="s">
        <v>146</v>
      </c>
      <c r="B178" s="3" t="s">
        <v>147</v>
      </c>
      <c r="C178" s="3" t="s">
        <v>148</v>
      </c>
      <c r="D178" s="3" t="n">
        <v>21</v>
      </c>
      <c r="E178" s="3" t="n">
        <v>17</v>
      </c>
      <c r="F178" s="3" t="s">
        <v>1236</v>
      </c>
    </row>
    <row r="179" customFormat="false" ht="15" hidden="false" customHeight="false" outlineLevel="0" collapsed="false">
      <c r="A179" s="3" t="s">
        <v>1237</v>
      </c>
      <c r="B179" s="3" t="s">
        <v>1238</v>
      </c>
      <c r="C179" s="3" t="s">
        <v>1239</v>
      </c>
      <c r="D179" s="3" t="n">
        <v>21</v>
      </c>
      <c r="E179" s="3" t="n">
        <v>17</v>
      </c>
      <c r="F179" s="3" t="s">
        <v>1240</v>
      </c>
    </row>
    <row r="180" customFormat="false" ht="15" hidden="false" customHeight="false" outlineLevel="0" collapsed="false">
      <c r="A180" s="3" t="s">
        <v>1241</v>
      </c>
      <c r="B180" s="3" t="s">
        <v>1242</v>
      </c>
      <c r="C180" s="3" t="s">
        <v>1243</v>
      </c>
      <c r="D180" s="3" t="n">
        <v>21</v>
      </c>
      <c r="E180" s="3" t="n">
        <v>17</v>
      </c>
      <c r="F180" s="3" t="s">
        <v>1244</v>
      </c>
    </row>
    <row r="181" customFormat="false" ht="15" hidden="false" customHeight="false" outlineLevel="0" collapsed="false">
      <c r="A181" s="3" t="s">
        <v>1245</v>
      </c>
      <c r="B181" s="3" t="s">
        <v>1246</v>
      </c>
      <c r="C181" s="3" t="s">
        <v>1247</v>
      </c>
      <c r="D181" s="3" t="n">
        <v>21</v>
      </c>
      <c r="E181" s="3" t="n">
        <v>1</v>
      </c>
      <c r="F181" s="3" t="s">
        <v>1248</v>
      </c>
    </row>
    <row r="182" customFormat="false" ht="15" hidden="false" customHeight="false" outlineLevel="0" collapsed="false">
      <c r="A182" s="3" t="s">
        <v>1249</v>
      </c>
      <c r="B182" s="3" t="s">
        <v>1250</v>
      </c>
      <c r="C182" s="3" t="s">
        <v>1251</v>
      </c>
      <c r="D182" s="3" t="n">
        <v>21</v>
      </c>
      <c r="E182" s="3" t="n">
        <v>1</v>
      </c>
      <c r="F182" s="3" t="s">
        <v>1248</v>
      </c>
    </row>
    <row r="183" customFormat="false" ht="15" hidden="false" customHeight="false" outlineLevel="0" collapsed="false">
      <c r="A183" s="3" t="s">
        <v>476</v>
      </c>
      <c r="B183" s="3" t="s">
        <v>477</v>
      </c>
      <c r="C183" s="3" t="s">
        <v>478</v>
      </c>
      <c r="D183" s="3" t="n">
        <v>21</v>
      </c>
      <c r="E183" s="3" t="n">
        <v>1</v>
      </c>
      <c r="F183" s="3" t="s">
        <v>1248</v>
      </c>
    </row>
    <row r="184" customFormat="false" ht="15" hidden="false" customHeight="false" outlineLevel="0" collapsed="false">
      <c r="A184" s="3" t="s">
        <v>480</v>
      </c>
      <c r="B184" s="3" t="s">
        <v>481</v>
      </c>
      <c r="C184" s="3" t="s">
        <v>482</v>
      </c>
      <c r="D184" s="3" t="n">
        <v>21</v>
      </c>
      <c r="E184" s="3" t="n">
        <v>1</v>
      </c>
      <c r="F184" s="3" t="s">
        <v>1248</v>
      </c>
    </row>
    <row r="185" customFormat="false" ht="15" hidden="false" customHeight="false" outlineLevel="0" collapsed="false">
      <c r="A185" s="3" t="s">
        <v>495</v>
      </c>
      <c r="B185" s="3" t="s">
        <v>496</v>
      </c>
      <c r="C185" s="3" t="s">
        <v>497</v>
      </c>
      <c r="D185" s="3" t="n">
        <v>21</v>
      </c>
      <c r="E185" s="3" t="n">
        <v>1</v>
      </c>
      <c r="F185" s="3" t="s">
        <v>1248</v>
      </c>
    </row>
    <row r="186" customFormat="false" ht="15" hidden="false" customHeight="false" outlineLevel="0" collapsed="false">
      <c r="A186" s="3" t="s">
        <v>501</v>
      </c>
      <c r="B186" s="3" t="s">
        <v>502</v>
      </c>
      <c r="C186" s="3" t="s">
        <v>503</v>
      </c>
      <c r="D186" s="3" t="n">
        <v>21</v>
      </c>
      <c r="E186" s="3" t="n">
        <v>1</v>
      </c>
      <c r="F186" s="3" t="s">
        <v>1248</v>
      </c>
    </row>
    <row r="187" customFormat="false" ht="15" hidden="false" customHeight="false" outlineLevel="0" collapsed="false">
      <c r="A187" s="3" t="s">
        <v>60</v>
      </c>
      <c r="B187" s="3" t="s">
        <v>61</v>
      </c>
      <c r="C187" s="3" t="s">
        <v>62</v>
      </c>
      <c r="D187" s="3" t="n">
        <v>21</v>
      </c>
      <c r="E187" s="3" t="n">
        <v>1</v>
      </c>
      <c r="F187" s="3" t="s">
        <v>1248</v>
      </c>
    </row>
    <row r="188" customFormat="false" ht="15" hidden="false" customHeight="false" outlineLevel="0" collapsed="false">
      <c r="A188" s="3" t="s">
        <v>1252</v>
      </c>
      <c r="B188" s="3" t="s">
        <v>1253</v>
      </c>
      <c r="C188" s="3" t="s">
        <v>1254</v>
      </c>
      <c r="D188" s="3" t="n">
        <v>21</v>
      </c>
      <c r="E188" s="3" t="n">
        <v>1</v>
      </c>
      <c r="F188" s="3" t="s">
        <v>1248</v>
      </c>
    </row>
    <row r="189" customFormat="false" ht="15" hidden="false" customHeight="false" outlineLevel="0" collapsed="false">
      <c r="A189" s="3" t="s">
        <v>1255</v>
      </c>
      <c r="B189" s="3" t="s">
        <v>1256</v>
      </c>
      <c r="C189" s="3" t="s">
        <v>1257</v>
      </c>
      <c r="D189" s="3" t="n">
        <v>21</v>
      </c>
      <c r="E189" s="3" t="n">
        <v>1</v>
      </c>
      <c r="F189" s="3" t="s">
        <v>1248</v>
      </c>
    </row>
    <row r="190" customFormat="false" ht="15" hidden="false" customHeight="false" outlineLevel="0" collapsed="false">
      <c r="A190" s="3" t="s">
        <v>1258</v>
      </c>
      <c r="B190" s="3" t="s">
        <v>1259</v>
      </c>
      <c r="C190" s="3" t="s">
        <v>1260</v>
      </c>
      <c r="D190" s="3" t="n">
        <v>21</v>
      </c>
      <c r="E190" s="3" t="n">
        <v>1</v>
      </c>
      <c r="F190" s="3" t="s">
        <v>1248</v>
      </c>
    </row>
    <row r="191" customFormat="false" ht="15" hidden="false" customHeight="false" outlineLevel="0" collapsed="false">
      <c r="A191" s="3" t="s">
        <v>622</v>
      </c>
      <c r="B191" s="3" t="s">
        <v>623</v>
      </c>
      <c r="C191" s="3" t="s">
        <v>624</v>
      </c>
      <c r="D191" s="3" t="n">
        <v>21</v>
      </c>
      <c r="E191" s="3" t="n">
        <v>1</v>
      </c>
      <c r="F191" s="3" t="s">
        <v>1248</v>
      </c>
    </row>
    <row r="192" customFormat="false" ht="15" hidden="false" customHeight="false" outlineLevel="0" collapsed="false">
      <c r="A192" s="3" t="s">
        <v>673</v>
      </c>
      <c r="B192" s="3" t="s">
        <v>674</v>
      </c>
      <c r="C192" s="3" t="s">
        <v>675</v>
      </c>
      <c r="D192" s="3" t="n">
        <v>21</v>
      </c>
      <c r="E192" s="3" t="n">
        <v>1</v>
      </c>
      <c r="F192" s="3" t="s">
        <v>1248</v>
      </c>
    </row>
    <row r="193" customFormat="false" ht="15" hidden="false" customHeight="false" outlineLevel="0" collapsed="false">
      <c r="A193" s="3" t="s">
        <v>189</v>
      </c>
      <c r="B193" s="3" t="s">
        <v>190</v>
      </c>
      <c r="C193" s="3" t="s">
        <v>191</v>
      </c>
      <c r="D193" s="3" t="n">
        <v>21</v>
      </c>
      <c r="E193" s="3" t="n">
        <v>1</v>
      </c>
      <c r="F193" s="3" t="s">
        <v>1248</v>
      </c>
    </row>
    <row r="194" customFormat="false" ht="15" hidden="false" customHeight="false" outlineLevel="0" collapsed="false">
      <c r="A194" s="3" t="s">
        <v>748</v>
      </c>
      <c r="B194" s="3" t="s">
        <v>749</v>
      </c>
      <c r="C194" s="3" t="s">
        <v>750</v>
      </c>
      <c r="D194" s="3" t="n">
        <v>21</v>
      </c>
      <c r="E194" s="3" t="n">
        <v>1</v>
      </c>
      <c r="F194" s="3" t="s">
        <v>1248</v>
      </c>
    </row>
    <row r="195" customFormat="false" ht="15" hidden="false" customHeight="false" outlineLevel="0" collapsed="false">
      <c r="A195" s="3" t="s">
        <v>760</v>
      </c>
      <c r="B195" s="3" t="s">
        <v>761</v>
      </c>
      <c r="C195" s="3" t="s">
        <v>762</v>
      </c>
      <c r="D195" s="3" t="n">
        <v>21</v>
      </c>
      <c r="E195" s="3" t="n">
        <v>1</v>
      </c>
      <c r="F195" s="3" t="s">
        <v>1248</v>
      </c>
    </row>
    <row r="196" customFormat="false" ht="15" hidden="false" customHeight="false" outlineLevel="0" collapsed="false">
      <c r="A196" s="3" t="s">
        <v>766</v>
      </c>
      <c r="B196" s="3" t="s">
        <v>767</v>
      </c>
      <c r="C196" s="3" t="s">
        <v>768</v>
      </c>
      <c r="D196" s="3" t="n">
        <v>21</v>
      </c>
      <c r="E196" s="3" t="n">
        <v>1</v>
      </c>
      <c r="F196" s="3" t="s">
        <v>1248</v>
      </c>
    </row>
    <row r="197" customFormat="false" ht="15" hidden="false" customHeight="false" outlineLevel="0" collapsed="false">
      <c r="A197" s="3" t="s">
        <v>526</v>
      </c>
      <c r="B197" s="3" t="s">
        <v>527</v>
      </c>
      <c r="C197" s="3" t="s">
        <v>528</v>
      </c>
      <c r="D197" s="3" t="n">
        <v>21</v>
      </c>
      <c r="E197" s="3" t="n">
        <v>8</v>
      </c>
      <c r="F197" s="3" t="s">
        <v>1261</v>
      </c>
    </row>
    <row r="198" customFormat="false" ht="15" hidden="false" customHeight="false" outlineLevel="0" collapsed="false">
      <c r="A198" s="4" t="s">
        <v>1262</v>
      </c>
      <c r="B198" s="4" t="s">
        <v>1263</v>
      </c>
      <c r="C198" s="4" t="s">
        <v>1264</v>
      </c>
      <c r="D198" s="4" t="n">
        <v>21</v>
      </c>
      <c r="E198" s="4" t="n">
        <v>8</v>
      </c>
      <c r="F198" s="4" t="s">
        <v>1265</v>
      </c>
    </row>
    <row r="199" customFormat="false" ht="15" hidden="false" customHeight="false" outlineLevel="0" collapsed="false">
      <c r="A199" s="3" t="s">
        <v>649</v>
      </c>
      <c r="B199" s="3" t="s">
        <v>650</v>
      </c>
      <c r="C199" s="3" t="s">
        <v>651</v>
      </c>
      <c r="D199" s="3" t="n">
        <v>21</v>
      </c>
      <c r="E199" s="3" t="n">
        <v>15</v>
      </c>
      <c r="F199" s="3" t="s">
        <v>1266</v>
      </c>
    </row>
    <row r="200" customFormat="false" ht="15" hidden="false" customHeight="false" outlineLevel="0" collapsed="false">
      <c r="A200" s="3" t="s">
        <v>282</v>
      </c>
      <c r="B200" s="3" t="s">
        <v>283</v>
      </c>
      <c r="C200" s="3" t="s">
        <v>284</v>
      </c>
      <c r="D200" s="3" t="n">
        <v>20</v>
      </c>
      <c r="E200" s="3" t="n">
        <v>15</v>
      </c>
      <c r="F200" s="3" t="s">
        <v>1267</v>
      </c>
    </row>
    <row r="201" customFormat="false" ht="15" hidden="false" customHeight="false" outlineLevel="0" collapsed="false">
      <c r="A201" s="4" t="s">
        <v>784</v>
      </c>
      <c r="B201" s="4" t="s">
        <v>785</v>
      </c>
      <c r="C201" s="4" t="s">
        <v>786</v>
      </c>
      <c r="D201" s="4" t="n">
        <v>20</v>
      </c>
      <c r="E201" s="4" t="n">
        <v>6</v>
      </c>
      <c r="F201" s="4" t="s">
        <v>1268</v>
      </c>
    </row>
    <row r="202" customFormat="false" ht="15" hidden="false" customHeight="false" outlineLevel="0" collapsed="false">
      <c r="A202" s="3" t="s">
        <v>1269</v>
      </c>
      <c r="B202" s="3" t="s">
        <v>1270</v>
      </c>
      <c r="C202" s="3" t="s">
        <v>1271</v>
      </c>
      <c r="D202" s="3" t="n">
        <v>20</v>
      </c>
      <c r="E202" s="3" t="n">
        <v>17</v>
      </c>
      <c r="F202" s="3" t="s">
        <v>1272</v>
      </c>
    </row>
    <row r="203" customFormat="false" ht="15" hidden="false" customHeight="false" outlineLevel="0" collapsed="false">
      <c r="A203" s="3" t="s">
        <v>517</v>
      </c>
      <c r="B203" s="3" t="s">
        <v>518</v>
      </c>
      <c r="C203" s="3" t="s">
        <v>519</v>
      </c>
      <c r="D203" s="3" t="n">
        <v>20</v>
      </c>
      <c r="E203" s="3" t="n">
        <v>17</v>
      </c>
      <c r="F203" s="3" t="s">
        <v>1273</v>
      </c>
    </row>
    <row r="204" customFormat="false" ht="15" hidden="false" customHeight="false" outlineLevel="0" collapsed="false">
      <c r="A204" s="3" t="s">
        <v>452</v>
      </c>
      <c r="B204" s="3" t="s">
        <v>453</v>
      </c>
      <c r="C204" s="3" t="s">
        <v>454</v>
      </c>
      <c r="D204" s="3" t="n">
        <v>20</v>
      </c>
      <c r="E204" s="3" t="n">
        <v>1</v>
      </c>
      <c r="F204" s="3" t="s">
        <v>1274</v>
      </c>
    </row>
    <row r="205" customFormat="false" ht="15" hidden="false" customHeight="false" outlineLevel="0" collapsed="false">
      <c r="A205" s="4" t="s">
        <v>336</v>
      </c>
      <c r="B205" s="4" t="s">
        <v>337</v>
      </c>
      <c r="C205" s="4" t="s">
        <v>338</v>
      </c>
      <c r="D205" s="4" t="n">
        <v>20</v>
      </c>
      <c r="E205" s="4" t="n">
        <v>1</v>
      </c>
      <c r="F205" s="4" t="s">
        <v>1275</v>
      </c>
    </row>
    <row r="206" customFormat="false" ht="15" hidden="false" customHeight="false" outlineLevel="0" collapsed="false">
      <c r="A206" s="3" t="s">
        <v>467</v>
      </c>
      <c r="B206" s="3" t="s">
        <v>468</v>
      </c>
      <c r="C206" s="3" t="s">
        <v>469</v>
      </c>
      <c r="D206" s="3" t="n">
        <v>19</v>
      </c>
      <c r="E206" s="3" t="n">
        <v>12</v>
      </c>
      <c r="F206" s="3" t="s">
        <v>1276</v>
      </c>
    </row>
    <row r="207" customFormat="false" ht="15" hidden="false" customHeight="false" outlineLevel="0" collapsed="false">
      <c r="A207" s="3" t="s">
        <v>486</v>
      </c>
      <c r="B207" s="3" t="s">
        <v>487</v>
      </c>
      <c r="C207" s="3" t="s">
        <v>488</v>
      </c>
      <c r="D207" s="3" t="n">
        <v>18</v>
      </c>
      <c r="E207" s="3" t="n">
        <v>7</v>
      </c>
      <c r="F207" s="3" t="s">
        <v>1277</v>
      </c>
    </row>
    <row r="208" customFormat="false" ht="15" hidden="false" customHeight="false" outlineLevel="0" collapsed="false">
      <c r="A208" s="3" t="s">
        <v>655</v>
      </c>
      <c r="B208" s="3" t="s">
        <v>656</v>
      </c>
      <c r="C208" s="3" t="s">
        <v>657</v>
      </c>
      <c r="D208" s="3" t="n">
        <v>18</v>
      </c>
      <c r="E208" s="3" t="n">
        <v>3</v>
      </c>
      <c r="F208" s="3" t="s">
        <v>1278</v>
      </c>
    </row>
    <row r="209" customFormat="false" ht="15" hidden="false" customHeight="false" outlineLevel="0" collapsed="false">
      <c r="A209" s="3" t="s">
        <v>276</v>
      </c>
      <c r="B209" s="3" t="s">
        <v>277</v>
      </c>
      <c r="C209" s="3" t="s">
        <v>278</v>
      </c>
      <c r="D209" s="3" t="n">
        <v>18</v>
      </c>
      <c r="E209" s="3" t="n">
        <v>3</v>
      </c>
      <c r="F209" s="3" t="s">
        <v>1279</v>
      </c>
    </row>
    <row r="210" customFormat="false" ht="15" hidden="false" customHeight="false" outlineLevel="0" collapsed="false">
      <c r="A210" s="4" t="s">
        <v>1280</v>
      </c>
      <c r="B210" s="4" t="s">
        <v>1281</v>
      </c>
      <c r="C210" s="4" t="s">
        <v>1282</v>
      </c>
      <c r="D210" s="4" t="n">
        <v>17</v>
      </c>
      <c r="E210" s="4" t="n">
        <v>7</v>
      </c>
      <c r="F210" s="4" t="s">
        <v>1283</v>
      </c>
    </row>
    <row r="211" customFormat="false" ht="15" hidden="false" customHeight="false" outlineLevel="0" collapsed="false">
      <c r="A211" s="3" t="s">
        <v>778</v>
      </c>
      <c r="B211" s="3" t="s">
        <v>779</v>
      </c>
      <c r="C211" s="3" t="s">
        <v>780</v>
      </c>
      <c r="D211" s="3" t="n">
        <v>17</v>
      </c>
      <c r="E211" s="3" t="n">
        <v>15</v>
      </c>
      <c r="F211" s="3" t="s">
        <v>1284</v>
      </c>
    </row>
    <row r="212" customFormat="false" ht="15" hidden="false" customHeight="false" outlineLevel="0" collapsed="false">
      <c r="A212" s="4" t="s">
        <v>805</v>
      </c>
      <c r="B212" s="4" t="s">
        <v>806</v>
      </c>
      <c r="C212" s="4" t="s">
        <v>807</v>
      </c>
      <c r="D212" s="4" t="n">
        <v>17</v>
      </c>
      <c r="E212" s="4" t="n">
        <v>1</v>
      </c>
      <c r="F212" s="4" t="s">
        <v>1285</v>
      </c>
    </row>
    <row r="213" customFormat="false" ht="15" hidden="false" customHeight="false" outlineLevel="0" collapsed="false">
      <c r="A213" s="3" t="s">
        <v>312</v>
      </c>
      <c r="B213" s="3" t="s">
        <v>313</v>
      </c>
      <c r="C213" s="3" t="s">
        <v>314</v>
      </c>
      <c r="D213" s="3" t="n">
        <v>17</v>
      </c>
      <c r="E213" s="3" t="n">
        <v>3</v>
      </c>
      <c r="F213" s="3" t="s">
        <v>1286</v>
      </c>
    </row>
    <row r="214" customFormat="false" ht="15" hidden="false" customHeight="false" outlineLevel="0" collapsed="false">
      <c r="A214" s="3" t="s">
        <v>267</v>
      </c>
      <c r="B214" s="3" t="s">
        <v>268</v>
      </c>
      <c r="C214" s="3" t="s">
        <v>269</v>
      </c>
      <c r="D214" s="3" t="n">
        <v>16</v>
      </c>
      <c r="E214" s="3" t="n">
        <v>2</v>
      </c>
      <c r="F214" s="3" t="s">
        <v>1287</v>
      </c>
    </row>
    <row r="215" customFormat="false" ht="15" hidden="false" customHeight="false" outlineLevel="0" collapsed="false">
      <c r="A215" s="4" t="s">
        <v>443</v>
      </c>
      <c r="B215" s="4" t="s">
        <v>444</v>
      </c>
      <c r="C215" s="4" t="s">
        <v>445</v>
      </c>
      <c r="D215" s="4" t="n">
        <v>16</v>
      </c>
      <c r="E215" s="4" t="n">
        <v>14</v>
      </c>
      <c r="F215" s="4" t="s">
        <v>1288</v>
      </c>
    </row>
    <row r="216" customFormat="false" ht="15" hidden="false" customHeight="false" outlineLevel="0" collapsed="false">
      <c r="A216" s="4" t="s">
        <v>1289</v>
      </c>
      <c r="B216" s="4" t="s">
        <v>1290</v>
      </c>
      <c r="C216" s="4" t="s">
        <v>1291</v>
      </c>
      <c r="D216" s="4" t="n">
        <v>16</v>
      </c>
      <c r="E216" s="4" t="n">
        <v>1</v>
      </c>
      <c r="F216" s="4" t="s">
        <v>1292</v>
      </c>
    </row>
    <row r="217" customFormat="false" ht="15" hidden="false" customHeight="false" outlineLevel="0" collapsed="false">
      <c r="A217" s="3" t="s">
        <v>155</v>
      </c>
      <c r="B217" s="3" t="s">
        <v>156</v>
      </c>
      <c r="C217" s="3" t="s">
        <v>157</v>
      </c>
      <c r="D217" s="3" t="n">
        <v>16</v>
      </c>
      <c r="E217" s="3" t="n">
        <v>3</v>
      </c>
      <c r="F217" s="3" t="s">
        <v>1293</v>
      </c>
    </row>
    <row r="218" customFormat="false" ht="15" hidden="false" customHeight="false" outlineLevel="0" collapsed="false">
      <c r="A218" s="3" t="s">
        <v>637</v>
      </c>
      <c r="B218" s="3" t="s">
        <v>638</v>
      </c>
      <c r="C218" s="3" t="s">
        <v>639</v>
      </c>
      <c r="D218" s="3" t="n">
        <v>15</v>
      </c>
      <c r="E218" s="3" t="n">
        <v>5</v>
      </c>
      <c r="F218" s="3" t="s">
        <v>1294</v>
      </c>
    </row>
    <row r="219" customFormat="false" ht="15" hidden="false" customHeight="false" outlineLevel="0" collapsed="false">
      <c r="A219" s="3" t="s">
        <v>54</v>
      </c>
      <c r="B219" s="3" t="s">
        <v>55</v>
      </c>
      <c r="C219" s="3" t="s">
        <v>56</v>
      </c>
      <c r="D219" s="3" t="n">
        <v>15</v>
      </c>
      <c r="E219" s="3" t="n">
        <v>3</v>
      </c>
      <c r="F219" s="3" t="s">
        <v>1295</v>
      </c>
    </row>
    <row r="220" customFormat="false" ht="15" hidden="false" customHeight="false" outlineLevel="0" collapsed="false">
      <c r="A220" s="4" t="s">
        <v>538</v>
      </c>
      <c r="B220" s="4" t="s">
        <v>539</v>
      </c>
      <c r="C220" s="4" t="s">
        <v>540</v>
      </c>
      <c r="D220" s="4" t="n">
        <v>15</v>
      </c>
      <c r="E220" s="4" t="n">
        <v>5</v>
      </c>
      <c r="F220" s="4" t="s">
        <v>1296</v>
      </c>
    </row>
    <row r="221" customFormat="false" ht="15" hidden="false" customHeight="false" outlineLevel="0" collapsed="false">
      <c r="A221" s="3" t="s">
        <v>473</v>
      </c>
      <c r="B221" s="3" t="s">
        <v>474</v>
      </c>
      <c r="C221" s="3" t="s">
        <v>475</v>
      </c>
      <c r="D221" s="3" t="n">
        <v>15</v>
      </c>
      <c r="E221" s="3" t="n">
        <v>6</v>
      </c>
      <c r="F221" s="3" t="s">
        <v>1297</v>
      </c>
    </row>
    <row r="222" customFormat="false" ht="15" hidden="false" customHeight="false" outlineLevel="0" collapsed="false">
      <c r="A222" s="4" t="s">
        <v>634</v>
      </c>
      <c r="B222" s="4" t="s">
        <v>635</v>
      </c>
      <c r="C222" s="4" t="s">
        <v>636</v>
      </c>
      <c r="D222" s="4" t="n">
        <v>15</v>
      </c>
      <c r="E222" s="4" t="n">
        <v>3</v>
      </c>
      <c r="F222" s="4" t="s">
        <v>1298</v>
      </c>
    </row>
    <row r="223" customFormat="false" ht="15" hidden="false" customHeight="false" outlineLevel="0" collapsed="false">
      <c r="A223" s="3" t="s">
        <v>137</v>
      </c>
      <c r="B223" s="3" t="s">
        <v>138</v>
      </c>
      <c r="C223" s="3" t="s">
        <v>139</v>
      </c>
      <c r="D223" s="3" t="n">
        <v>15</v>
      </c>
      <c r="E223" s="3" t="n">
        <v>3</v>
      </c>
      <c r="F223" s="3" t="s">
        <v>1299</v>
      </c>
    </row>
    <row r="224" customFormat="false" ht="15" hidden="false" customHeight="false" outlineLevel="0" collapsed="false">
      <c r="A224" s="4" t="s">
        <v>243</v>
      </c>
      <c r="B224" s="4" t="s">
        <v>244</v>
      </c>
      <c r="C224" s="4" t="s">
        <v>245</v>
      </c>
      <c r="D224" s="4" t="n">
        <v>15</v>
      </c>
      <c r="E224" s="4" t="n">
        <v>5</v>
      </c>
      <c r="F224" s="4" t="s">
        <v>1300</v>
      </c>
    </row>
    <row r="225" customFormat="false" ht="15" hidden="false" customHeight="false" outlineLevel="0" collapsed="false">
      <c r="A225" s="3" t="s">
        <v>577</v>
      </c>
      <c r="B225" s="3" t="s">
        <v>578</v>
      </c>
      <c r="C225" s="3" t="s">
        <v>579</v>
      </c>
      <c r="D225" s="3" t="n">
        <v>14</v>
      </c>
      <c r="E225" s="3" t="n">
        <v>5</v>
      </c>
      <c r="F225" s="3" t="s">
        <v>1301</v>
      </c>
    </row>
    <row r="226" customFormat="false" ht="15" hidden="false" customHeight="false" outlineLevel="0" collapsed="false">
      <c r="A226" s="4" t="s">
        <v>57</v>
      </c>
      <c r="B226" s="4" t="s">
        <v>58</v>
      </c>
      <c r="C226" s="4" t="s">
        <v>59</v>
      </c>
      <c r="D226" s="4" t="n">
        <v>14</v>
      </c>
      <c r="E226" s="4" t="n">
        <v>5</v>
      </c>
      <c r="F226" s="4" t="s">
        <v>1302</v>
      </c>
    </row>
    <row r="227" customFormat="false" ht="15" hidden="false" customHeight="false" outlineLevel="0" collapsed="false">
      <c r="A227" s="4" t="s">
        <v>583</v>
      </c>
      <c r="B227" s="4" t="s">
        <v>584</v>
      </c>
      <c r="C227" s="4" t="s">
        <v>585</v>
      </c>
      <c r="D227" s="4" t="n">
        <v>14</v>
      </c>
      <c r="E227" s="4" t="n">
        <v>6</v>
      </c>
      <c r="F227" s="4" t="s">
        <v>1303</v>
      </c>
    </row>
    <row r="228" customFormat="false" ht="15" hidden="false" customHeight="false" outlineLevel="0" collapsed="false">
      <c r="A228" s="4" t="s">
        <v>592</v>
      </c>
      <c r="B228" s="4" t="s">
        <v>593</v>
      </c>
      <c r="C228" s="4" t="s">
        <v>594</v>
      </c>
      <c r="D228" s="4" t="n">
        <v>14</v>
      </c>
      <c r="E228" s="4" t="n">
        <v>2</v>
      </c>
      <c r="F228" s="4" t="s">
        <v>1304</v>
      </c>
    </row>
    <row r="229" customFormat="false" ht="15" hidden="false" customHeight="false" outlineLevel="0" collapsed="false">
      <c r="A229" s="3" t="s">
        <v>455</v>
      </c>
      <c r="B229" s="3" t="s">
        <v>456</v>
      </c>
      <c r="C229" s="3" t="s">
        <v>457</v>
      </c>
      <c r="D229" s="3" t="n">
        <v>14</v>
      </c>
      <c r="E229" s="3" t="n">
        <v>4</v>
      </c>
      <c r="F229" s="3" t="s">
        <v>1305</v>
      </c>
    </row>
    <row r="230" customFormat="false" ht="15" hidden="false" customHeight="false" outlineLevel="0" collapsed="false">
      <c r="A230" s="4" t="s">
        <v>225</v>
      </c>
      <c r="B230" s="4" t="s">
        <v>226</v>
      </c>
      <c r="C230" s="4" t="s">
        <v>227</v>
      </c>
      <c r="D230" s="4" t="n">
        <v>14</v>
      </c>
      <c r="E230" s="4" t="n">
        <v>3</v>
      </c>
      <c r="F230" s="4" t="s">
        <v>1306</v>
      </c>
    </row>
    <row r="231" customFormat="false" ht="15" hidden="false" customHeight="false" outlineLevel="0" collapsed="false">
      <c r="A231" s="4" t="s">
        <v>556</v>
      </c>
      <c r="B231" s="4" t="s">
        <v>557</v>
      </c>
      <c r="C231" s="4" t="s">
        <v>558</v>
      </c>
      <c r="D231" s="4" t="n">
        <v>13</v>
      </c>
      <c r="E231" s="4" t="n">
        <v>5</v>
      </c>
      <c r="F231" s="4" t="s">
        <v>1307</v>
      </c>
    </row>
    <row r="232" customFormat="false" ht="15" hidden="false" customHeight="false" outlineLevel="0" collapsed="false">
      <c r="A232" s="3" t="s">
        <v>92</v>
      </c>
      <c r="B232" s="3" t="s">
        <v>93</v>
      </c>
      <c r="C232" s="3" t="s">
        <v>94</v>
      </c>
      <c r="D232" s="3" t="n">
        <v>13</v>
      </c>
      <c r="E232" s="3" t="n">
        <v>3</v>
      </c>
      <c r="F232" s="3" t="s">
        <v>1308</v>
      </c>
    </row>
    <row r="233" customFormat="false" ht="15" hidden="false" customHeight="false" outlineLevel="0" collapsed="false">
      <c r="A233" s="3" t="s">
        <v>688</v>
      </c>
      <c r="B233" s="3" t="s">
        <v>689</v>
      </c>
      <c r="C233" s="3" t="s">
        <v>690</v>
      </c>
      <c r="D233" s="3" t="n">
        <v>13</v>
      </c>
      <c r="E233" s="3" t="n">
        <v>3</v>
      </c>
      <c r="F233" s="3" t="s">
        <v>1308</v>
      </c>
    </row>
    <row r="234" customFormat="false" ht="15" hidden="false" customHeight="false" outlineLevel="0" collapsed="false">
      <c r="A234" s="3" t="s">
        <v>532</v>
      </c>
      <c r="B234" s="3" t="s">
        <v>533</v>
      </c>
      <c r="C234" s="3" t="s">
        <v>534</v>
      </c>
      <c r="D234" s="3" t="n">
        <v>12</v>
      </c>
      <c r="E234" s="3" t="n">
        <v>7</v>
      </c>
      <c r="F234" s="3" t="s">
        <v>1309</v>
      </c>
    </row>
    <row r="235" customFormat="false" ht="15" hidden="false" customHeight="false" outlineLevel="0" collapsed="false">
      <c r="A235" s="4" t="s">
        <v>104</v>
      </c>
      <c r="B235" s="4" t="s">
        <v>105</v>
      </c>
      <c r="C235" s="4" t="s">
        <v>106</v>
      </c>
      <c r="D235" s="4" t="n">
        <v>12</v>
      </c>
      <c r="E235" s="4" t="n">
        <v>1</v>
      </c>
      <c r="F235" s="4" t="s">
        <v>1310</v>
      </c>
    </row>
    <row r="236" customFormat="false" ht="15" hidden="false" customHeight="false" outlineLevel="0" collapsed="false">
      <c r="A236" s="3" t="s">
        <v>628</v>
      </c>
      <c r="B236" s="3" t="s">
        <v>629</v>
      </c>
      <c r="C236" s="3" t="s">
        <v>630</v>
      </c>
      <c r="D236" s="3" t="n">
        <v>12</v>
      </c>
      <c r="E236" s="3" t="n">
        <v>1</v>
      </c>
      <c r="F236" s="3" t="s">
        <v>1311</v>
      </c>
    </row>
    <row r="237" customFormat="false" ht="15" hidden="false" customHeight="false" outlineLevel="0" collapsed="false">
      <c r="A237" s="4" t="s">
        <v>833</v>
      </c>
      <c r="B237" s="4" t="s">
        <v>834</v>
      </c>
      <c r="C237" s="4" t="s">
        <v>835</v>
      </c>
      <c r="D237" s="4" t="n">
        <v>12</v>
      </c>
      <c r="E237" s="4" t="n">
        <v>1</v>
      </c>
      <c r="F237" s="4" t="s">
        <v>1312</v>
      </c>
    </row>
    <row r="238" customFormat="false" ht="15" hidden="false" customHeight="false" outlineLevel="0" collapsed="false">
      <c r="A238" s="3" t="s">
        <v>270</v>
      </c>
      <c r="B238" s="3" t="s">
        <v>271</v>
      </c>
      <c r="C238" s="3" t="s">
        <v>272</v>
      </c>
      <c r="D238" s="3" t="n">
        <v>11</v>
      </c>
      <c r="E238" s="3" t="n">
        <v>4</v>
      </c>
      <c r="F238" s="3" t="s">
        <v>1313</v>
      </c>
    </row>
    <row r="239" customFormat="false" ht="15" hidden="false" customHeight="false" outlineLevel="0" collapsed="false">
      <c r="A239" s="4" t="s">
        <v>125</v>
      </c>
      <c r="B239" s="4" t="s">
        <v>126</v>
      </c>
      <c r="C239" s="4" t="s">
        <v>127</v>
      </c>
      <c r="D239" s="4" t="n">
        <v>11</v>
      </c>
      <c r="E239" s="4" t="n">
        <v>4</v>
      </c>
      <c r="F239" s="4" t="s">
        <v>1314</v>
      </c>
    </row>
    <row r="240" customFormat="false" ht="15" hidden="false" customHeight="false" outlineLevel="0" collapsed="false">
      <c r="A240" s="3" t="s">
        <v>568</v>
      </c>
      <c r="B240" s="3" t="s">
        <v>569</v>
      </c>
      <c r="C240" s="3" t="s">
        <v>570</v>
      </c>
      <c r="D240" s="3" t="n">
        <v>11</v>
      </c>
      <c r="E240" s="3" t="n">
        <v>5</v>
      </c>
      <c r="F240" s="3" t="s">
        <v>1315</v>
      </c>
    </row>
    <row r="241" customFormat="false" ht="15" hidden="false" customHeight="false" outlineLevel="0" collapsed="false">
      <c r="A241" s="4" t="s">
        <v>720</v>
      </c>
      <c r="B241" s="4" t="s">
        <v>721</v>
      </c>
      <c r="C241" s="4" t="s">
        <v>722</v>
      </c>
      <c r="D241" s="4" t="n">
        <v>10</v>
      </c>
      <c r="E241" s="4" t="n">
        <v>3</v>
      </c>
      <c r="F241" s="4" t="s">
        <v>1316</v>
      </c>
    </row>
    <row r="242" customFormat="false" ht="15" hidden="false" customHeight="false" outlineLevel="0" collapsed="false">
      <c r="A242" s="3" t="s">
        <v>691</v>
      </c>
      <c r="B242" s="3" t="s">
        <v>692</v>
      </c>
      <c r="C242" s="3" t="s">
        <v>693</v>
      </c>
      <c r="D242" s="3" t="n">
        <v>10</v>
      </c>
      <c r="E242" s="3" t="n">
        <v>3</v>
      </c>
      <c r="F242" s="3" t="s">
        <v>1317</v>
      </c>
    </row>
    <row r="243" customFormat="false" ht="15" hidden="false" customHeight="false" outlineLevel="0" collapsed="false">
      <c r="A243" s="4" t="s">
        <v>297</v>
      </c>
      <c r="B243" s="4" t="s">
        <v>298</v>
      </c>
      <c r="C243" s="4" t="s">
        <v>299</v>
      </c>
      <c r="D243" s="4" t="n">
        <v>10</v>
      </c>
      <c r="E243" s="4" t="n">
        <v>1</v>
      </c>
      <c r="F243" s="4" t="s">
        <v>1318</v>
      </c>
    </row>
    <row r="244" customFormat="false" ht="15" hidden="false" customHeight="false" outlineLevel="0" collapsed="false">
      <c r="A244" s="4" t="s">
        <v>327</v>
      </c>
      <c r="B244" s="4" t="s">
        <v>328</v>
      </c>
      <c r="C244" s="4" t="s">
        <v>329</v>
      </c>
      <c r="D244" s="4" t="n">
        <v>10</v>
      </c>
      <c r="E244" s="4" t="n">
        <v>1</v>
      </c>
      <c r="F244" s="4" t="s">
        <v>1318</v>
      </c>
    </row>
    <row r="245" customFormat="false" ht="15" hidden="false" customHeight="false" outlineLevel="0" collapsed="false">
      <c r="A245" s="4" t="s">
        <v>808</v>
      </c>
      <c r="B245" s="4" t="s">
        <v>809</v>
      </c>
      <c r="C245" s="4" t="s">
        <v>810</v>
      </c>
      <c r="D245" s="4" t="n">
        <v>10</v>
      </c>
      <c r="E245" s="4" t="n">
        <v>1</v>
      </c>
      <c r="F245" s="4" t="s">
        <v>1318</v>
      </c>
    </row>
    <row r="246" customFormat="false" ht="15" hidden="false" customHeight="false" outlineLevel="0" collapsed="false">
      <c r="A246" s="4" t="s">
        <v>836</v>
      </c>
      <c r="B246" s="4" t="s">
        <v>837</v>
      </c>
      <c r="C246" s="4" t="s">
        <v>838</v>
      </c>
      <c r="D246" s="4" t="n">
        <v>10</v>
      </c>
      <c r="E246" s="4" t="n">
        <v>1</v>
      </c>
      <c r="F246" s="4" t="s">
        <v>1318</v>
      </c>
    </row>
    <row r="247" customFormat="false" ht="15" hidden="false" customHeight="false" outlineLevel="0" collapsed="false">
      <c r="A247" s="3" t="s">
        <v>1319</v>
      </c>
      <c r="B247" s="3" t="s">
        <v>1320</v>
      </c>
      <c r="C247" s="3" t="s">
        <v>1321</v>
      </c>
      <c r="D247" s="3" t="n">
        <v>10</v>
      </c>
      <c r="E247" s="3" t="n">
        <v>2</v>
      </c>
      <c r="F247" s="3" t="s">
        <v>1322</v>
      </c>
    </row>
    <row r="248" customFormat="false" ht="15" hidden="false" customHeight="false" outlineLevel="0" collapsed="false">
      <c r="A248" s="3" t="s">
        <v>1323</v>
      </c>
      <c r="B248" s="3" t="s">
        <v>1324</v>
      </c>
      <c r="C248" s="3" t="s">
        <v>1325</v>
      </c>
      <c r="D248" s="3" t="n">
        <v>10</v>
      </c>
      <c r="E248" s="3" t="n">
        <v>2</v>
      </c>
      <c r="F248" s="3" t="s">
        <v>1322</v>
      </c>
    </row>
    <row r="249" customFormat="false" ht="15" hidden="false" customHeight="false" outlineLevel="0" collapsed="false">
      <c r="A249" s="3" t="s">
        <v>793</v>
      </c>
      <c r="B249" s="3" t="s">
        <v>794</v>
      </c>
      <c r="C249" s="3" t="s">
        <v>795</v>
      </c>
      <c r="D249" s="3" t="n">
        <v>10</v>
      </c>
      <c r="E249" s="3" t="n">
        <v>2</v>
      </c>
      <c r="F249" s="3" t="s">
        <v>1322</v>
      </c>
    </row>
    <row r="250" customFormat="false" ht="15" hidden="false" customHeight="false" outlineLevel="0" collapsed="false">
      <c r="A250" s="3" t="s">
        <v>195</v>
      </c>
      <c r="B250" s="3" t="s">
        <v>196</v>
      </c>
      <c r="C250" s="3" t="s">
        <v>197</v>
      </c>
      <c r="D250" s="3" t="n">
        <v>9</v>
      </c>
      <c r="E250" s="3" t="n">
        <v>3</v>
      </c>
      <c r="F250" s="3" t="s">
        <v>1326</v>
      </c>
    </row>
    <row r="251" customFormat="false" ht="15" hidden="false" customHeight="false" outlineLevel="0" collapsed="false">
      <c r="A251" s="3" t="s">
        <v>1327</v>
      </c>
      <c r="B251" s="3" t="s">
        <v>1328</v>
      </c>
      <c r="C251" s="3" t="s">
        <v>1329</v>
      </c>
      <c r="D251" s="3" t="n">
        <v>9</v>
      </c>
      <c r="E251" s="3" t="n">
        <v>1</v>
      </c>
      <c r="F251" s="3" t="s">
        <v>1330</v>
      </c>
    </row>
    <row r="252" customFormat="false" ht="15" hidden="false" customHeight="false" outlineLevel="0" collapsed="false">
      <c r="A252" s="3" t="s">
        <v>303</v>
      </c>
      <c r="B252" s="3" t="s">
        <v>304</v>
      </c>
      <c r="C252" s="3" t="s">
        <v>305</v>
      </c>
      <c r="D252" s="3" t="n">
        <v>9</v>
      </c>
      <c r="E252" s="3" t="n">
        <v>2</v>
      </c>
      <c r="F252" s="3" t="s">
        <v>1331</v>
      </c>
    </row>
    <row r="253" customFormat="false" ht="15" hidden="false" customHeight="false" outlineLevel="0" collapsed="false">
      <c r="A253" s="3" t="s">
        <v>754</v>
      </c>
      <c r="B253" s="3" t="s">
        <v>755</v>
      </c>
      <c r="C253" s="3" t="s">
        <v>756</v>
      </c>
      <c r="D253" s="3" t="n">
        <v>9</v>
      </c>
      <c r="E253" s="3" t="n">
        <v>2</v>
      </c>
      <c r="F253" s="3" t="s">
        <v>1331</v>
      </c>
    </row>
    <row r="254" customFormat="false" ht="15" hidden="false" customHeight="false" outlineLevel="0" collapsed="false">
      <c r="A254" s="3" t="s">
        <v>667</v>
      </c>
      <c r="B254" s="3" t="s">
        <v>668</v>
      </c>
      <c r="C254" s="3" t="s">
        <v>669</v>
      </c>
      <c r="D254" s="3" t="n">
        <v>8</v>
      </c>
      <c r="E254" s="3" t="n">
        <v>8</v>
      </c>
      <c r="F254" s="3" t="s">
        <v>1332</v>
      </c>
    </row>
    <row r="255" customFormat="false" ht="15" hidden="false" customHeight="false" outlineLevel="0" collapsed="false">
      <c r="A255" s="4" t="s">
        <v>213</v>
      </c>
      <c r="B255" s="4" t="s">
        <v>214</v>
      </c>
      <c r="C255" s="4" t="s">
        <v>215</v>
      </c>
      <c r="D255" s="4" t="n">
        <v>8</v>
      </c>
      <c r="E255" s="4" t="n">
        <v>1</v>
      </c>
      <c r="F255" s="4" t="s">
        <v>1333</v>
      </c>
    </row>
    <row r="256" customFormat="false" ht="15" hidden="false" customHeight="false" outlineLevel="0" collapsed="false">
      <c r="A256" s="4" t="s">
        <v>1334</v>
      </c>
      <c r="B256" s="4" t="s">
        <v>1335</v>
      </c>
      <c r="C256" s="4" t="s">
        <v>1336</v>
      </c>
      <c r="D256" s="4" t="n">
        <v>8</v>
      </c>
      <c r="E256" s="4" t="n">
        <v>1</v>
      </c>
      <c r="F256" s="4" t="s">
        <v>1337</v>
      </c>
    </row>
    <row r="257" customFormat="false" ht="15" hidden="false" customHeight="false" outlineLevel="0" collapsed="false">
      <c r="A257" s="4" t="s">
        <v>1338</v>
      </c>
      <c r="B257" s="4" t="s">
        <v>1339</v>
      </c>
      <c r="C257" s="4" t="s">
        <v>1340</v>
      </c>
      <c r="D257" s="4" t="n">
        <v>8</v>
      </c>
      <c r="E257" s="4" t="n">
        <v>1</v>
      </c>
      <c r="F257" s="4" t="s">
        <v>1341</v>
      </c>
    </row>
    <row r="258" customFormat="false" ht="15" hidden="false" customHeight="false" outlineLevel="0" collapsed="false">
      <c r="A258" s="3" t="s">
        <v>315</v>
      </c>
      <c r="B258" s="3" t="s">
        <v>316</v>
      </c>
      <c r="C258" s="3" t="s">
        <v>317</v>
      </c>
      <c r="D258" s="3" t="n">
        <v>8</v>
      </c>
      <c r="E258" s="3" t="n">
        <v>2</v>
      </c>
      <c r="F258" s="3" t="s">
        <v>1342</v>
      </c>
    </row>
    <row r="259" customFormat="false" ht="15" hidden="false" customHeight="false" outlineLevel="0" collapsed="false">
      <c r="A259" s="4" t="s">
        <v>176</v>
      </c>
      <c r="B259" s="4" t="s">
        <v>177</v>
      </c>
      <c r="C259" s="4" t="s">
        <v>178</v>
      </c>
      <c r="D259" s="4" t="n">
        <v>8</v>
      </c>
      <c r="E259" s="4" t="n">
        <v>4</v>
      </c>
      <c r="F259" s="4" t="s">
        <v>1343</v>
      </c>
    </row>
    <row r="260" customFormat="false" ht="15" hidden="false" customHeight="false" outlineLevel="0" collapsed="false">
      <c r="A260" s="4" t="s">
        <v>1344</v>
      </c>
      <c r="B260" s="4" t="s">
        <v>1345</v>
      </c>
      <c r="C260" s="4" t="s">
        <v>1346</v>
      </c>
      <c r="D260" s="4" t="n">
        <v>7</v>
      </c>
      <c r="E260" s="4" t="n">
        <v>2</v>
      </c>
      <c r="F260" s="4" t="s">
        <v>1347</v>
      </c>
    </row>
    <row r="261" customFormat="false" ht="15" hidden="false" customHeight="false" outlineLevel="0" collapsed="false">
      <c r="A261" s="4" t="s">
        <v>535</v>
      </c>
      <c r="B261" s="4" t="s">
        <v>536</v>
      </c>
      <c r="C261" s="4" t="s">
        <v>537</v>
      </c>
      <c r="D261" s="4" t="n">
        <v>7</v>
      </c>
      <c r="E261" s="4" t="n">
        <v>1</v>
      </c>
      <c r="F261" s="4" t="s">
        <v>1348</v>
      </c>
    </row>
    <row r="262" customFormat="false" ht="15" hidden="false" customHeight="false" outlineLevel="0" collapsed="false">
      <c r="A262" s="4" t="s">
        <v>63</v>
      </c>
      <c r="B262" s="4" t="s">
        <v>64</v>
      </c>
      <c r="C262" s="4" t="s">
        <v>65</v>
      </c>
      <c r="D262" s="4" t="n">
        <v>7</v>
      </c>
      <c r="E262" s="4" t="n">
        <v>1</v>
      </c>
      <c r="F262" s="4" t="s">
        <v>1349</v>
      </c>
    </row>
    <row r="263" customFormat="false" ht="15" hidden="false" customHeight="false" outlineLevel="0" collapsed="false">
      <c r="A263" s="4" t="s">
        <v>757</v>
      </c>
      <c r="B263" s="4" t="s">
        <v>758</v>
      </c>
      <c r="C263" s="4" t="s">
        <v>759</v>
      </c>
      <c r="D263" s="4" t="n">
        <v>7</v>
      </c>
      <c r="E263" s="4" t="n">
        <v>1</v>
      </c>
      <c r="F263" s="4" t="s">
        <v>1350</v>
      </c>
    </row>
    <row r="264" customFormat="false" ht="15" hidden="false" customHeight="false" outlineLevel="0" collapsed="false">
      <c r="A264" s="4" t="s">
        <v>237</v>
      </c>
      <c r="B264" s="4" t="s">
        <v>238</v>
      </c>
      <c r="C264" s="4" t="s">
        <v>239</v>
      </c>
      <c r="D264" s="4" t="n">
        <v>6</v>
      </c>
      <c r="E264" s="4" t="n">
        <v>2</v>
      </c>
      <c r="F264" s="4" t="s">
        <v>1351</v>
      </c>
    </row>
    <row r="265" customFormat="false" ht="15" hidden="false" customHeight="false" outlineLevel="0" collapsed="false">
      <c r="A265" s="3" t="s">
        <v>198</v>
      </c>
      <c r="B265" s="3" t="s">
        <v>199</v>
      </c>
      <c r="C265" s="3" t="s">
        <v>200</v>
      </c>
      <c r="D265" s="3" t="n">
        <v>6</v>
      </c>
      <c r="E265" s="3" t="n">
        <v>2</v>
      </c>
      <c r="F265" s="3" t="s">
        <v>1352</v>
      </c>
    </row>
    <row r="266" customFormat="false" ht="15" hidden="false" customHeight="false" outlineLevel="0" collapsed="false">
      <c r="A266" s="3" t="s">
        <v>732</v>
      </c>
      <c r="B266" s="3" t="s">
        <v>733</v>
      </c>
      <c r="C266" s="3" t="s">
        <v>734</v>
      </c>
      <c r="D266" s="3" t="n">
        <v>6</v>
      </c>
      <c r="E266" s="3" t="n">
        <v>2</v>
      </c>
      <c r="F266" s="3" t="s">
        <v>1352</v>
      </c>
    </row>
    <row r="267" customFormat="false" ht="15" hidden="false" customHeight="false" outlineLevel="0" collapsed="false">
      <c r="A267" s="4" t="s">
        <v>279</v>
      </c>
      <c r="B267" s="4" t="s">
        <v>280</v>
      </c>
      <c r="C267" s="4" t="s">
        <v>281</v>
      </c>
      <c r="D267" s="4" t="n">
        <v>6</v>
      </c>
      <c r="E267" s="4" t="n">
        <v>1</v>
      </c>
      <c r="F267" s="4" t="s">
        <v>1353</v>
      </c>
    </row>
    <row r="268" customFormat="false" ht="15" hidden="false" customHeight="false" outlineLevel="0" collapsed="false">
      <c r="A268" s="3" t="s">
        <v>300</v>
      </c>
      <c r="B268" s="3" t="s">
        <v>301</v>
      </c>
      <c r="C268" s="3" t="s">
        <v>302</v>
      </c>
      <c r="D268" s="3" t="n">
        <v>5</v>
      </c>
      <c r="E268" s="3" t="n">
        <v>1</v>
      </c>
      <c r="F268" s="3" t="s">
        <v>1354</v>
      </c>
    </row>
    <row r="269" customFormat="false" ht="15" hidden="false" customHeight="false" outlineLevel="0" collapsed="false">
      <c r="A269" s="3" t="s">
        <v>1355</v>
      </c>
      <c r="B269" s="3" t="s">
        <v>1356</v>
      </c>
      <c r="C269" s="3" t="s">
        <v>1357</v>
      </c>
      <c r="D269" s="3" t="n">
        <v>5</v>
      </c>
      <c r="E269" s="3" t="n">
        <v>1</v>
      </c>
      <c r="F269" s="3" t="s">
        <v>1358</v>
      </c>
    </row>
    <row r="270" customFormat="false" ht="15" hidden="false" customHeight="false" outlineLevel="0" collapsed="false">
      <c r="A270" s="3" t="s">
        <v>697</v>
      </c>
      <c r="B270" s="3" t="s">
        <v>698</v>
      </c>
      <c r="C270" s="3" t="s">
        <v>699</v>
      </c>
      <c r="D270" s="3" t="n">
        <v>5</v>
      </c>
      <c r="E270" s="3" t="n">
        <v>1</v>
      </c>
      <c r="F270" s="3" t="s">
        <v>1358</v>
      </c>
    </row>
    <row r="271" customFormat="false" ht="15" hidden="false" customHeight="false" outlineLevel="0" collapsed="false">
      <c r="A271" s="4" t="s">
        <v>192</v>
      </c>
      <c r="B271" s="4" t="s">
        <v>193</v>
      </c>
      <c r="C271" s="4" t="s">
        <v>194</v>
      </c>
      <c r="D271" s="4" t="n">
        <v>5</v>
      </c>
      <c r="E271" s="4" t="n">
        <v>1</v>
      </c>
      <c r="F271" s="4" t="s">
        <v>1359</v>
      </c>
    </row>
    <row r="272" customFormat="false" ht="15" hidden="false" customHeight="false" outlineLevel="0" collapsed="false">
      <c r="A272" s="4" t="s">
        <v>1360</v>
      </c>
      <c r="B272" s="4" t="s">
        <v>1361</v>
      </c>
      <c r="C272" s="4" t="s">
        <v>1362</v>
      </c>
      <c r="D272" s="4" t="n">
        <v>5</v>
      </c>
      <c r="E272" s="4" t="n">
        <v>1</v>
      </c>
      <c r="F272" s="4" t="s">
        <v>1363</v>
      </c>
    </row>
    <row r="273" customFormat="false" ht="15" hidden="false" customHeight="false" outlineLevel="0" collapsed="false">
      <c r="A273" s="4" t="s">
        <v>1364</v>
      </c>
      <c r="B273" s="4" t="s">
        <v>1365</v>
      </c>
      <c r="C273" s="4" t="s">
        <v>1366</v>
      </c>
      <c r="D273" s="4" t="n">
        <v>5</v>
      </c>
      <c r="E273" s="4" t="n">
        <v>1</v>
      </c>
      <c r="F273" s="4" t="s">
        <v>1363</v>
      </c>
    </row>
    <row r="274" customFormat="false" ht="15" hidden="false" customHeight="false" outlineLevel="0" collapsed="false">
      <c r="A274" s="4" t="s">
        <v>122</v>
      </c>
      <c r="B274" s="4" t="s">
        <v>123</v>
      </c>
      <c r="C274" s="4" t="s">
        <v>124</v>
      </c>
      <c r="D274" s="4" t="n">
        <v>4</v>
      </c>
      <c r="E274" s="4" t="n">
        <v>2</v>
      </c>
      <c r="F274" s="4" t="s">
        <v>1367</v>
      </c>
    </row>
    <row r="275" customFormat="false" ht="15" hidden="false" customHeight="false" outlineLevel="0" collapsed="false">
      <c r="A275" s="4" t="s">
        <v>67</v>
      </c>
      <c r="B275" s="4" t="s">
        <v>68</v>
      </c>
      <c r="C275" s="4" t="s">
        <v>69</v>
      </c>
      <c r="D275" s="4" t="n">
        <v>4</v>
      </c>
      <c r="E275" s="4" t="n">
        <v>2</v>
      </c>
      <c r="F275" s="4" t="s">
        <v>1368</v>
      </c>
    </row>
    <row r="276" customFormat="false" ht="15" hidden="false" customHeight="false" outlineLevel="0" collapsed="false">
      <c r="A276" s="3" t="s">
        <v>1369</v>
      </c>
      <c r="B276" s="3" t="s">
        <v>1370</v>
      </c>
      <c r="C276" s="3" t="s">
        <v>1371</v>
      </c>
      <c r="D276" s="3" t="n">
        <v>4</v>
      </c>
      <c r="E276" s="3" t="n">
        <v>1</v>
      </c>
      <c r="F276" s="3" t="s">
        <v>1372</v>
      </c>
    </row>
    <row r="277" customFormat="false" ht="15" hidden="false" customHeight="false" outlineLevel="0" collapsed="false">
      <c r="A277" s="4" t="s">
        <v>140</v>
      </c>
      <c r="B277" s="4" t="s">
        <v>141</v>
      </c>
      <c r="C277" s="4" t="s">
        <v>142</v>
      </c>
      <c r="D277" s="4" t="n">
        <v>4</v>
      </c>
      <c r="E277" s="4" t="n">
        <v>1</v>
      </c>
      <c r="F277" s="4" t="s">
        <v>1373</v>
      </c>
    </row>
    <row r="278" customFormat="false" ht="15" hidden="false" customHeight="false" outlineLevel="0" collapsed="false">
      <c r="A278" s="4" t="s">
        <v>1374</v>
      </c>
      <c r="B278" s="4" t="s">
        <v>1375</v>
      </c>
      <c r="C278" s="4" t="s">
        <v>1376</v>
      </c>
      <c r="D278" s="4" t="n">
        <v>4</v>
      </c>
      <c r="E278" s="4" t="n">
        <v>1</v>
      </c>
      <c r="F278" s="4" t="s">
        <v>1377</v>
      </c>
    </row>
    <row r="279" customFormat="false" ht="15" hidden="false" customHeight="false" outlineLevel="0" collapsed="false">
      <c r="A279" s="4" t="s">
        <v>842</v>
      </c>
      <c r="B279" s="4" t="s">
        <v>843</v>
      </c>
      <c r="C279" s="4" t="s">
        <v>844</v>
      </c>
      <c r="D279" s="4" t="n">
        <v>4</v>
      </c>
      <c r="E279" s="4" t="n">
        <v>1</v>
      </c>
      <c r="F279" s="4" t="s">
        <v>1377</v>
      </c>
    </row>
    <row r="280" customFormat="false" ht="15" hidden="false" customHeight="false" outlineLevel="0" collapsed="false">
      <c r="A280" s="3" t="s">
        <v>492</v>
      </c>
      <c r="B280" s="3" t="s">
        <v>493</v>
      </c>
      <c r="C280" s="3" t="s">
        <v>494</v>
      </c>
      <c r="D280" s="3" t="n">
        <v>3</v>
      </c>
      <c r="E280" s="3" t="n">
        <v>1</v>
      </c>
      <c r="F280" s="3" t="s">
        <v>1378</v>
      </c>
    </row>
    <row r="281" customFormat="false" ht="15" hidden="false" customHeight="false" outlineLevel="0" collapsed="false">
      <c r="A281" s="3" t="s">
        <v>1379</v>
      </c>
      <c r="B281" s="3" t="s">
        <v>1380</v>
      </c>
      <c r="C281" s="3" t="s">
        <v>1381</v>
      </c>
      <c r="D281" s="3" t="n">
        <v>3</v>
      </c>
      <c r="E281" s="3" t="n">
        <v>3</v>
      </c>
      <c r="F281" s="3" t="s">
        <v>1382</v>
      </c>
    </row>
    <row r="282" customFormat="false" ht="15" hidden="false" customHeight="false" outlineLevel="0" collapsed="false">
      <c r="A282" s="3" t="s">
        <v>23</v>
      </c>
      <c r="B282" s="3" t="s">
        <v>24</v>
      </c>
      <c r="C282" s="3" t="s">
        <v>25</v>
      </c>
      <c r="D282" s="3" t="n">
        <v>3</v>
      </c>
      <c r="E282" s="3" t="n">
        <v>1</v>
      </c>
      <c r="F282" s="3" t="s">
        <v>1383</v>
      </c>
    </row>
    <row r="283" customFormat="false" ht="15" hidden="false" customHeight="false" outlineLevel="0" collapsed="false">
      <c r="A283" s="3" t="s">
        <v>1384</v>
      </c>
      <c r="B283" s="3" t="s">
        <v>1385</v>
      </c>
      <c r="C283" s="3" t="s">
        <v>1386</v>
      </c>
      <c r="D283" s="3" t="n">
        <v>3</v>
      </c>
      <c r="E283" s="3" t="n">
        <v>1</v>
      </c>
      <c r="F283" s="3" t="s">
        <v>1383</v>
      </c>
    </row>
    <row r="284" customFormat="false" ht="15" hidden="false" customHeight="false" outlineLevel="0" collapsed="false">
      <c r="A284" s="4" t="s">
        <v>95</v>
      </c>
      <c r="B284" s="4" t="s">
        <v>96</v>
      </c>
      <c r="C284" s="4" t="s">
        <v>97</v>
      </c>
      <c r="D284" s="4" t="n">
        <v>3</v>
      </c>
      <c r="E284" s="4" t="n">
        <v>1</v>
      </c>
      <c r="F284" s="4" t="s">
        <v>1387</v>
      </c>
    </row>
    <row r="285" customFormat="false" ht="15" hidden="false" customHeight="false" outlineLevel="0" collapsed="false">
      <c r="A285" s="3" t="s">
        <v>1388</v>
      </c>
      <c r="B285" s="3" t="s">
        <v>1389</v>
      </c>
      <c r="C285" s="3" t="s">
        <v>1390</v>
      </c>
      <c r="D285" s="3" t="n">
        <v>2</v>
      </c>
      <c r="E285" s="3" t="n">
        <v>2</v>
      </c>
      <c r="F285" s="3" t="s">
        <v>1391</v>
      </c>
    </row>
    <row r="286" customFormat="false" ht="15" hidden="false" customHeight="false" outlineLevel="0" collapsed="false">
      <c r="A286" s="3" t="s">
        <v>1392</v>
      </c>
      <c r="B286" s="3" t="s">
        <v>1393</v>
      </c>
      <c r="C286" s="3" t="s">
        <v>1394</v>
      </c>
      <c r="D286" s="3" t="n">
        <v>2</v>
      </c>
      <c r="E286" s="3" t="n">
        <v>2</v>
      </c>
      <c r="F286" s="3" t="s">
        <v>1395</v>
      </c>
    </row>
    <row r="287" customFormat="false" ht="15" hidden="false" customHeight="false" outlineLevel="0" collapsed="false">
      <c r="A287" s="4" t="s">
        <v>183</v>
      </c>
      <c r="B287" s="4" t="s">
        <v>184</v>
      </c>
      <c r="C287" s="4" t="s">
        <v>185</v>
      </c>
      <c r="D287" s="4" t="n">
        <v>2</v>
      </c>
      <c r="E287" s="4" t="n">
        <v>1</v>
      </c>
      <c r="F287" s="4" t="s">
        <v>1396</v>
      </c>
    </row>
    <row r="288" customFormat="false" ht="15" hidden="false" customHeight="false" outlineLevel="0" collapsed="false">
      <c r="A288" s="3" t="s">
        <v>167</v>
      </c>
      <c r="B288" s="3" t="s">
        <v>168</v>
      </c>
      <c r="C288" s="3" t="s">
        <v>169</v>
      </c>
      <c r="D288" s="3" t="n">
        <v>2</v>
      </c>
      <c r="E288" s="3" t="n">
        <v>1</v>
      </c>
      <c r="F288" s="3" t="s">
        <v>1397</v>
      </c>
    </row>
    <row r="289" customFormat="false" ht="15" hidden="false" customHeight="false" outlineLevel="0" collapsed="false">
      <c r="A289" s="4" t="s">
        <v>1398</v>
      </c>
      <c r="B289" s="4" t="s">
        <v>1399</v>
      </c>
      <c r="C289" s="4" t="s">
        <v>1400</v>
      </c>
      <c r="D289" s="4" t="n">
        <v>2</v>
      </c>
      <c r="E289" s="4" t="n">
        <v>1</v>
      </c>
      <c r="F289" s="4" t="s">
        <v>1401</v>
      </c>
    </row>
    <row r="290" customFormat="false" ht="15" hidden="false" customHeight="false" outlineLevel="0" collapsed="false">
      <c r="A290" s="4" t="s">
        <v>1402</v>
      </c>
      <c r="B290" s="4" t="s">
        <v>1403</v>
      </c>
      <c r="C290" s="4" t="s">
        <v>1404</v>
      </c>
      <c r="D290" s="4" t="n">
        <v>2</v>
      </c>
      <c r="E290" s="4" t="n">
        <v>1</v>
      </c>
      <c r="F290" s="4" t="s">
        <v>1401</v>
      </c>
    </row>
    <row r="291" customFormat="false" ht="15" hidden="false" customHeight="false" outlineLevel="0" collapsed="false">
      <c r="A291" s="4" t="s">
        <v>607</v>
      </c>
      <c r="B291" s="4" t="s">
        <v>608</v>
      </c>
      <c r="C291" s="4" t="s">
        <v>609</v>
      </c>
      <c r="D291" s="4" t="n">
        <v>2</v>
      </c>
      <c r="E291" s="4" t="n">
        <v>1</v>
      </c>
      <c r="F291" s="4" t="s">
        <v>1401</v>
      </c>
    </row>
    <row r="292" customFormat="false" ht="15" hidden="false" customHeight="false" outlineLevel="0" collapsed="false">
      <c r="A292" s="4" t="s">
        <v>652</v>
      </c>
      <c r="B292" s="4" t="s">
        <v>653</v>
      </c>
      <c r="C292" s="4" t="s">
        <v>654</v>
      </c>
      <c r="D292" s="4" t="n">
        <v>1</v>
      </c>
      <c r="E292" s="4" t="n">
        <v>1</v>
      </c>
      <c r="F292" s="4" t="s">
        <v>1405</v>
      </c>
    </row>
    <row r="293" customFormat="false" ht="15" hidden="false" customHeight="false" outlineLevel="0" collapsed="false">
      <c r="A293" s="4" t="s">
        <v>726</v>
      </c>
      <c r="B293" s="4" t="s">
        <v>727</v>
      </c>
      <c r="C293" s="4" t="s">
        <v>728</v>
      </c>
      <c r="D293" s="4" t="n">
        <v>1</v>
      </c>
      <c r="E293" s="4" t="n">
        <v>1</v>
      </c>
      <c r="F293" s="4" t="s">
        <v>1405</v>
      </c>
    </row>
  </sheetData>
  <autoFilter ref="A2:M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26"/>
  </cols>
  <sheetData>
    <row r="1" customFormat="false" ht="15" hidden="false" customHeight="false" outlineLevel="0" collapsed="false">
      <c r="A1" s="9" t="s">
        <v>1406</v>
      </c>
    </row>
    <row r="2" customFormat="false" ht="13.5" hidden="false" customHeight="true" outlineLevel="0" collapsed="false">
      <c r="A2" s="14" t="s">
        <v>1407</v>
      </c>
      <c r="B2" s="13" t="s">
        <v>1408</v>
      </c>
    </row>
    <row r="3" customFormat="false" ht="13.5" hidden="false" customHeight="true" outlineLevel="0" collapsed="false">
      <c r="A3" s="14" t="s">
        <v>1409</v>
      </c>
      <c r="B3" s="13" t="s">
        <v>1410</v>
      </c>
    </row>
    <row r="5" customFormat="false" ht="15" hidden="false" customHeight="false" outlineLevel="0" collapsed="false">
      <c r="A5" s="9" t="s">
        <v>1411</v>
      </c>
    </row>
    <row r="6" customFormat="false" ht="39" hidden="false" customHeight="true" outlineLevel="0" collapsed="false">
      <c r="A6" s="14" t="s">
        <v>1412</v>
      </c>
      <c r="B6" s="13" t="s">
        <v>1413</v>
      </c>
    </row>
    <row r="7" customFormat="false" ht="39" hidden="false" customHeight="true" outlineLevel="0" collapsed="false">
      <c r="A7" s="14" t="s">
        <v>1414</v>
      </c>
      <c r="B7" s="13" t="s">
        <v>1415</v>
      </c>
    </row>
    <row r="8" customFormat="false" ht="51.75" hidden="false" customHeight="true" outlineLevel="0" collapsed="false">
      <c r="A8" s="14" t="s">
        <v>1416</v>
      </c>
      <c r="B8" s="13" t="s">
        <v>1417</v>
      </c>
    </row>
    <row r="9" customFormat="false" ht="13.5" hidden="false" customHeight="true" outlineLevel="0" collapsed="false">
      <c r="A9" s="14" t="s">
        <v>1418</v>
      </c>
      <c r="B9" s="13" t="s">
        <v>1419</v>
      </c>
    </row>
    <row r="10" customFormat="false" ht="25.5" hidden="false" customHeight="true" outlineLevel="0" collapsed="false">
      <c r="A10" s="14" t="s">
        <v>1420</v>
      </c>
      <c r="B10" s="13" t="s">
        <v>1421</v>
      </c>
    </row>
    <row r="12" customFormat="false" ht="15" hidden="false" customHeight="false" outlineLevel="0" collapsed="false">
      <c r="A12" s="9" t="s">
        <v>1422</v>
      </c>
    </row>
    <row r="13" customFormat="false" ht="25.5" hidden="false" customHeight="true" outlineLevel="0" collapsed="false">
      <c r="A13" s="14" t="s">
        <v>1423</v>
      </c>
      <c r="B13" s="13" t="s">
        <v>1424</v>
      </c>
    </row>
    <row r="14" customFormat="false" ht="39" hidden="false" customHeight="true" outlineLevel="0" collapsed="false">
      <c r="A14" s="14" t="s">
        <v>1425</v>
      </c>
      <c r="B14" s="13" t="s">
        <v>1426</v>
      </c>
    </row>
    <row r="15" customFormat="false" ht="25.5" hidden="false" customHeight="true" outlineLevel="0" collapsed="false">
      <c r="A15" s="14" t="s">
        <v>1427</v>
      </c>
      <c r="B15" s="13" t="s">
        <v>1428</v>
      </c>
    </row>
    <row r="17" customFormat="false" ht="15" hidden="false" customHeight="false" outlineLevel="0" collapsed="false">
      <c r="A17" s="9" t="s">
        <v>1429</v>
      </c>
    </row>
    <row r="18" customFormat="false" ht="13.5" hidden="false" customHeight="true" outlineLevel="0" collapsed="false">
      <c r="A18" s="14" t="s">
        <v>1430</v>
      </c>
      <c r="B18" s="13"/>
    </row>
    <row r="19" customFormat="false" ht="39" hidden="false" customHeight="true" outlineLevel="0" collapsed="false">
      <c r="A19" s="14" t="s">
        <v>1431</v>
      </c>
      <c r="B19" s="13" t="s">
        <v>1432</v>
      </c>
    </row>
    <row r="20" customFormat="false" ht="39" hidden="false" customHeight="true" outlineLevel="0" collapsed="false">
      <c r="A20" s="14" t="s">
        <v>1433</v>
      </c>
      <c r="B20" s="13" t="s">
        <v>1434</v>
      </c>
    </row>
    <row r="22" customFormat="false" ht="15" hidden="false" customHeight="false" outlineLevel="0" collapsed="false">
      <c r="A22" s="9" t="s">
        <v>1435</v>
      </c>
    </row>
    <row r="23" customFormat="false" ht="25.5" hidden="false" customHeight="true" outlineLevel="0" collapsed="false">
      <c r="A23" s="14" t="s">
        <v>1436</v>
      </c>
      <c r="B23" s="13" t="s">
        <v>1437</v>
      </c>
    </row>
    <row r="24" customFormat="false" ht="51.75" hidden="false" customHeight="true" outlineLevel="0" collapsed="false">
      <c r="A24" s="14" t="s">
        <v>1438</v>
      </c>
      <c r="B24" s="13" t="s">
        <v>1439</v>
      </c>
    </row>
    <row r="25" customFormat="false" ht="51.75" hidden="false" customHeight="true" outlineLevel="0" collapsed="false">
      <c r="A25" s="14" t="s">
        <v>1440</v>
      </c>
      <c r="B25" s="13" t="s">
        <v>1441</v>
      </c>
    </row>
    <row r="26" customFormat="false" ht="25.5" hidden="false" customHeight="true" outlineLevel="0" collapsed="false">
      <c r="A26" s="14" t="s">
        <v>1442</v>
      </c>
      <c r="B26" s="13" t="s">
        <v>1443</v>
      </c>
    </row>
    <row r="27" customFormat="false" ht="25.5" hidden="false" customHeight="true" outlineLevel="0" collapsed="false">
      <c r="A27" s="14" t="s">
        <v>1444</v>
      </c>
      <c r="B27" s="13" t="s">
        <v>1445</v>
      </c>
    </row>
    <row r="28" customFormat="false" ht="39" hidden="false" customHeight="true" outlineLevel="0" collapsed="false">
      <c r="A28" s="14" t="s">
        <v>1446</v>
      </c>
      <c r="B28" s="13" t="s">
        <v>1447</v>
      </c>
    </row>
    <row r="29" customFormat="false" ht="25.5" hidden="false" customHeight="true" outlineLevel="0" collapsed="false">
      <c r="A29" s="14" t="s">
        <v>1448</v>
      </c>
      <c r="B29" s="13" t="s">
        <v>1449</v>
      </c>
    </row>
    <row r="30" customFormat="false" ht="13.5" hidden="false" customHeight="true" outlineLevel="0" collapsed="false">
      <c r="A30" s="14" t="s">
        <v>359</v>
      </c>
      <c r="B30" s="13" t="s">
        <v>1450</v>
      </c>
    </row>
    <row r="32" customFormat="false" ht="15" hidden="false" customHeight="false" outlineLevel="0" collapsed="false">
      <c r="A32" s="9" t="s">
        <v>1451</v>
      </c>
    </row>
    <row r="33" customFormat="false" ht="13.5" hidden="false" customHeight="true" outlineLevel="0" collapsed="false">
      <c r="A33" s="14" t="s">
        <v>1452</v>
      </c>
      <c r="B33" s="13" t="s">
        <v>1453</v>
      </c>
    </row>
    <row r="34" customFormat="false" ht="13.5" hidden="false" customHeight="true" outlineLevel="0" collapsed="false">
      <c r="A34" s="14" t="s">
        <v>427</v>
      </c>
      <c r="B34" s="13" t="s">
        <v>1454</v>
      </c>
    </row>
    <row r="35" customFormat="false" ht="39" hidden="false" customHeight="true" outlineLevel="0" collapsed="false">
      <c r="A35" s="14" t="s">
        <v>1455</v>
      </c>
      <c r="B35" s="13" t="s">
        <v>1456</v>
      </c>
    </row>
    <row r="36" customFormat="false" ht="25.5" hidden="false" customHeight="true" outlineLevel="0" collapsed="false">
      <c r="A36" s="14" t="s">
        <v>1457</v>
      </c>
      <c r="B36" s="13" t="s">
        <v>1458</v>
      </c>
    </row>
    <row r="37" customFormat="false" ht="25.5" hidden="false" customHeight="true" outlineLevel="0" collapsed="false">
      <c r="A37" s="14" t="s">
        <v>434</v>
      </c>
      <c r="B37" s="13" t="s">
        <v>1459</v>
      </c>
    </row>
    <row r="38" customFormat="false" ht="25.5" hidden="false" customHeight="true" outlineLevel="0" collapsed="false">
      <c r="A38" s="14" t="s">
        <v>1460</v>
      </c>
      <c r="B38" s="13" t="s">
        <v>1461</v>
      </c>
    </row>
    <row r="39" customFormat="false" ht="25.5" hidden="false" customHeight="true" outlineLevel="0" collapsed="false">
      <c r="A39" s="14" t="s">
        <v>1462</v>
      </c>
      <c r="B39" s="13" t="s">
        <v>1463</v>
      </c>
    </row>
    <row r="40" customFormat="false" ht="39" hidden="false" customHeight="true" outlineLevel="0" collapsed="false">
      <c r="A40" s="14" t="s">
        <v>1464</v>
      </c>
      <c r="B40" s="13" t="s">
        <v>1465</v>
      </c>
    </row>
    <row r="42" customFormat="false" ht="15" hidden="false" customHeight="false" outlineLevel="0" collapsed="false">
      <c r="A42" s="9" t="s">
        <v>1466</v>
      </c>
    </row>
    <row r="43" customFormat="false" ht="25.5" hidden="false" customHeight="true" outlineLevel="0" collapsed="false">
      <c r="A43" s="14" t="s">
        <v>1467</v>
      </c>
      <c r="B43" s="13" t="s">
        <v>1468</v>
      </c>
    </row>
    <row r="44" customFormat="false" ht="51.75" hidden="false" customHeight="true" outlineLevel="0" collapsed="false">
      <c r="A44" s="14" t="s">
        <v>1469</v>
      </c>
      <c r="B44" s="13" t="s">
        <v>1470</v>
      </c>
    </row>
    <row r="45" customFormat="false" ht="39" hidden="false" customHeight="true" outlineLevel="0" collapsed="false">
      <c r="A45" s="14" t="s">
        <v>1471</v>
      </c>
      <c r="B45" s="13" t="s">
        <v>1472</v>
      </c>
    </row>
    <row r="46" customFormat="false" ht="39" hidden="false" customHeight="true" outlineLevel="0" collapsed="false">
      <c r="A46" s="14" t="s">
        <v>1473</v>
      </c>
      <c r="B46" s="13" t="s">
        <v>1474</v>
      </c>
    </row>
    <row r="48" customFormat="false" ht="15" hidden="false" customHeight="false" outlineLevel="0" collapsed="false">
      <c r="A48" s="9" t="s">
        <v>1475</v>
      </c>
    </row>
    <row r="49" customFormat="false" ht="25.5" hidden="false" customHeight="true" outlineLevel="0" collapsed="false">
      <c r="A49" s="14" t="s">
        <v>1476</v>
      </c>
      <c r="B49" s="13" t="s">
        <v>1477</v>
      </c>
    </row>
    <row r="50" customFormat="false" ht="39" hidden="false" customHeight="true" outlineLevel="0" collapsed="false">
      <c r="A50" s="14" t="s">
        <v>1478</v>
      </c>
      <c r="B50" s="13" t="s">
        <v>1479</v>
      </c>
    </row>
    <row r="51" customFormat="false" ht="25.5" hidden="false" customHeight="true" outlineLevel="0" collapsed="false">
      <c r="A51" s="14" t="s">
        <v>1480</v>
      </c>
      <c r="B51" s="13" t="s">
        <v>1481</v>
      </c>
    </row>
    <row r="52" customFormat="false" ht="25.5" hidden="false" customHeight="true" outlineLevel="0" collapsed="false">
      <c r="A52" s="14" t="s">
        <v>1482</v>
      </c>
      <c r="B52" s="13" t="s">
        <v>1483</v>
      </c>
    </row>
    <row r="53" customFormat="false" ht="13.5" hidden="false" customHeight="true" outlineLevel="0" collapsed="false">
      <c r="A53" s="14" t="s">
        <v>433</v>
      </c>
      <c r="B53" s="13" t="s">
        <v>1484</v>
      </c>
    </row>
    <row r="55" customFormat="false" ht="15" hidden="false" customHeight="false" outlineLevel="0" collapsed="false">
      <c r="A55" s="9" t="s">
        <v>1485</v>
      </c>
    </row>
    <row r="56" customFormat="false" ht="51.75" hidden="false" customHeight="true" outlineLevel="0" collapsed="false">
      <c r="A56" s="14" t="s">
        <v>1486</v>
      </c>
      <c r="B56" s="13" t="s">
        <v>1487</v>
      </c>
    </row>
    <row r="57" customFormat="false" ht="51.75" hidden="false" customHeight="true" outlineLevel="0" collapsed="false">
      <c r="A57" s="14" t="s">
        <v>1488</v>
      </c>
      <c r="B57" s="13" t="s">
        <v>1489</v>
      </c>
    </row>
    <row r="59" customFormat="false" ht="15" hidden="false" customHeight="false" outlineLevel="0" collapsed="false">
      <c r="A59" s="9" t="s">
        <v>1490</v>
      </c>
    </row>
    <row r="60" customFormat="false" ht="13.5" hidden="false" customHeight="true" outlineLevel="0" collapsed="false">
      <c r="A60" s="14" t="s">
        <v>1491</v>
      </c>
      <c r="B60" s="13" t="s">
        <v>1492</v>
      </c>
    </row>
    <row r="61" customFormat="false" ht="25.5" hidden="false" customHeight="true" outlineLevel="0" collapsed="false">
      <c r="A61" s="14" t="s">
        <v>1493</v>
      </c>
      <c r="B61" s="13" t="s">
        <v>1494</v>
      </c>
    </row>
    <row r="62" customFormat="false" ht="25.5" hidden="false" customHeight="true" outlineLevel="0" collapsed="false">
      <c r="A62" s="14" t="s">
        <v>1495</v>
      </c>
      <c r="B62" s="13" t="s">
        <v>1496</v>
      </c>
    </row>
    <row r="63" customFormat="false" ht="13.5" hidden="false" customHeight="true" outlineLevel="0" collapsed="false">
      <c r="A63" s="14" t="s">
        <v>1497</v>
      </c>
      <c r="B63" s="13" t="s">
        <v>1498</v>
      </c>
    </row>
    <row r="64" customFormat="false" ht="25.5" hidden="false" customHeight="true" outlineLevel="0" collapsed="false">
      <c r="A64" s="14" t="s">
        <v>1499</v>
      </c>
      <c r="B64" s="13" t="s">
        <v>1500</v>
      </c>
    </row>
    <row r="65" customFormat="false" ht="25.5" hidden="false" customHeight="true" outlineLevel="0" collapsed="false">
      <c r="A65" s="14" t="s">
        <v>1501</v>
      </c>
      <c r="B65" s="13" t="s">
        <v>1502</v>
      </c>
    </row>
    <row r="67" customFormat="false" ht="15" hidden="false" customHeight="false" outlineLevel="0" collapsed="false">
      <c r="A67" s="9" t="s">
        <v>1503</v>
      </c>
    </row>
    <row r="68" customFormat="false" ht="13.5" hidden="false" customHeight="true" outlineLevel="0" collapsed="false">
      <c r="A68" s="14" t="s">
        <v>1504</v>
      </c>
      <c r="B68" s="13" t="s">
        <v>1505</v>
      </c>
    </row>
    <row r="69" customFormat="false" ht="13.5" hidden="false" customHeight="true" outlineLevel="0" collapsed="false">
      <c r="A69" s="14" t="s">
        <v>1506</v>
      </c>
      <c r="B69" s="13" t="s">
        <v>1507</v>
      </c>
    </row>
    <row r="70" customFormat="false" ht="13.5" hidden="false" customHeight="true" outlineLevel="0" collapsed="false">
      <c r="A70" s="14" t="s">
        <v>1508</v>
      </c>
      <c r="B70" s="13" t="s">
        <v>1509</v>
      </c>
    </row>
    <row r="71" customFormat="false" ht="13.5" hidden="false" customHeight="true" outlineLevel="0" collapsed="false">
      <c r="A71" s="14" t="s">
        <v>1510</v>
      </c>
      <c r="B71" s="13" t="s">
        <v>1511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2026-10-05T14:49:05Z</dcterms:created>
  <dc:creator>openpyxl</dc:creator>
  <dc:description/>
  <dc:language>en-US</dc:language>
  <cp:lastModifiedBy/>
  <dcterms:modified xsi:type="dcterms:W3CDTF">2026-10-05T14:49:06Z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